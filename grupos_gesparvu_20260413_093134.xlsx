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l Contreras\Downloads\Gesparvu_Grupos\"/>
    </mc:Choice>
  </mc:AlternateContent>
  <xr:revisionPtr revIDLastSave="0" documentId="13_ncr:1_{762C7262-E3D6-4644-A70D-FBF1160F391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digos" sheetId="5" r:id="rId1"/>
    <sheet name="Datos Grupos" sheetId="1" r:id="rId2"/>
    <sheet name="Resumen por Establecimiento" sheetId="2" r:id="rId3"/>
    <sheet name="Resumen por Nivel" sheetId="3" r:id="rId4"/>
  </sheets>
  <definedNames>
    <definedName name="_xlnm._FilterDatabase" localSheetId="2" hidden="1">'Resumen por Establecimiento'!$A$1:$F$43</definedName>
    <definedName name="CODIGO_JUNJ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2" i="1"/>
</calcChain>
</file>

<file path=xl/sharedStrings.xml><?xml version="1.0" encoding="utf-8"?>
<sst xmlns="http://schemas.openxmlformats.org/spreadsheetml/2006/main" count="936" uniqueCount="118">
  <si>
    <t>Establecimiento</t>
  </si>
  <si>
    <t>Letra</t>
  </si>
  <si>
    <t>Nivel</t>
  </si>
  <si>
    <t>Tipo de Grupo</t>
  </si>
  <si>
    <t>Capacidad</t>
  </si>
  <si>
    <t>Matrículas</t>
  </si>
  <si>
    <t>Vacantes</t>
  </si>
  <si>
    <t>Fecha Extracción</t>
  </si>
  <si>
    <t>% Ocupación</t>
  </si>
  <si>
    <t>13119029</t>
  </si>
  <si>
    <t>3</t>
  </si>
  <si>
    <t>NIVEL MEDIO MAYOR</t>
  </si>
  <si>
    <t>Regular</t>
  </si>
  <si>
    <t>2026-04-13 09:31:34</t>
  </si>
  <si>
    <t>2</t>
  </si>
  <si>
    <t>NIVEL MEDIO MENOR</t>
  </si>
  <si>
    <t>1</t>
  </si>
  <si>
    <t>SALA CUNA MAYOR</t>
  </si>
  <si>
    <t>13119036</t>
  </si>
  <si>
    <t>5</t>
  </si>
  <si>
    <t>6</t>
  </si>
  <si>
    <t>4</t>
  </si>
  <si>
    <t>SALA CUNA HETEROGENEA</t>
  </si>
  <si>
    <t>13119034</t>
  </si>
  <si>
    <t>13102010</t>
  </si>
  <si>
    <t>13119024</t>
  </si>
  <si>
    <t>SALA CUNA MENOR</t>
  </si>
  <si>
    <t>13106022</t>
  </si>
  <si>
    <t>13106017</t>
  </si>
  <si>
    <t>13106025</t>
  </si>
  <si>
    <t>13119017</t>
  </si>
  <si>
    <t>NIVEL MEDIO MIXTO</t>
  </si>
  <si>
    <t>13102008</t>
  </si>
  <si>
    <t>13119027</t>
  </si>
  <si>
    <t>13119004</t>
  </si>
  <si>
    <t>MEDIO Y TRANS. CONVENCIONAL</t>
  </si>
  <si>
    <t>8</t>
  </si>
  <si>
    <t>7</t>
  </si>
  <si>
    <t>13106021</t>
  </si>
  <si>
    <t>13102009</t>
  </si>
  <si>
    <t>13119043</t>
  </si>
  <si>
    <t>13119010</t>
  </si>
  <si>
    <t>11</t>
  </si>
  <si>
    <t>9</t>
  </si>
  <si>
    <t>TRANSICION I</t>
  </si>
  <si>
    <t>10</t>
  </si>
  <si>
    <t>13119042</t>
  </si>
  <si>
    <t>13106026</t>
  </si>
  <si>
    <t>13106023</t>
  </si>
  <si>
    <t>13119025</t>
  </si>
  <si>
    <t>13119026</t>
  </si>
  <si>
    <t>13106019</t>
  </si>
  <si>
    <t>13106018</t>
  </si>
  <si>
    <t>13119033</t>
  </si>
  <si>
    <t>13106024</t>
  </si>
  <si>
    <t>13119031</t>
  </si>
  <si>
    <t>13119023</t>
  </si>
  <si>
    <t>13102013</t>
  </si>
  <si>
    <t>13119020</t>
  </si>
  <si>
    <t>13119019</t>
  </si>
  <si>
    <t>13119028</t>
  </si>
  <si>
    <t>13119003</t>
  </si>
  <si>
    <t>13119022</t>
  </si>
  <si>
    <t>13119035</t>
  </si>
  <si>
    <t>13102011</t>
  </si>
  <si>
    <t>13102007</t>
  </si>
  <si>
    <t>13119021</t>
  </si>
  <si>
    <t>13119030</t>
  </si>
  <si>
    <t>13119032</t>
  </si>
  <si>
    <t>13119040</t>
  </si>
  <si>
    <t>13119018</t>
  </si>
  <si>
    <t>13102014</t>
  </si>
  <si>
    <t>Total Grupos</t>
  </si>
  <si>
    <t>AITUÉ</t>
  </si>
  <si>
    <t>ALON KURA</t>
  </si>
  <si>
    <t>ALTAWEÑI</t>
  </si>
  <si>
    <t>ANGEL FANTUZI</t>
  </si>
  <si>
    <t>ANKATU</t>
  </si>
  <si>
    <t>ARTEMISA</t>
  </si>
  <si>
    <t>AVELUZ</t>
  </si>
  <si>
    <t>AYELÉN</t>
  </si>
  <si>
    <t>BLANCO ENCALADA</t>
  </si>
  <si>
    <t>CARDENAL RAÚL SILVA HENRÍQUEZ</t>
  </si>
  <si>
    <t>CASCANUECES</t>
  </si>
  <si>
    <t>DIVINA PROVIDENCIA</t>
  </si>
  <si>
    <t>DUENDES Y ESTRELLITAS.</t>
  </si>
  <si>
    <t>EL MIRADOR</t>
  </si>
  <si>
    <t>EL TRANQUE</t>
  </si>
  <si>
    <t>EMANUEL</t>
  </si>
  <si>
    <t>ESDRAS</t>
  </si>
  <si>
    <t>ESTACIÓN ALEGRÍA</t>
  </si>
  <si>
    <t>KIMELÜ</t>
  </si>
  <si>
    <t>KIM RUKA</t>
  </si>
  <si>
    <t>LAS ABEJITAS</t>
  </si>
  <si>
    <t>LAS LUCIÉRNAGAS</t>
  </si>
  <si>
    <t>LOS ANGELITOS DE VILLA FRANCIA</t>
  </si>
  <si>
    <t>LOS SOLCITOS</t>
  </si>
  <si>
    <t>MIS PRIMERAS HUELLAS</t>
  </si>
  <si>
    <t>MOLINO DE COLORES</t>
  </si>
  <si>
    <t>NUEVO MUNDO</t>
  </si>
  <si>
    <t>ORESTE PLATH</t>
  </si>
  <si>
    <t>PALLAMAR</t>
  </si>
  <si>
    <t xml:space="preserve">PEHUÉN </t>
  </si>
  <si>
    <t>PEQUEÑAS MARAVILLAS</t>
  </si>
  <si>
    <t>PEQUEÑOS EXPLORADORES</t>
  </si>
  <si>
    <t>PINCELES Y COLORES</t>
  </si>
  <si>
    <t>RAYEN MAPU</t>
  </si>
  <si>
    <t>RÍO MAGDALENA</t>
  </si>
  <si>
    <t>SALOMON SACK</t>
  </si>
  <si>
    <t>VICENTE REYES</t>
  </si>
  <si>
    <t>VILLA MÉXICO</t>
  </si>
  <si>
    <t>SAN JUAN</t>
  </si>
  <si>
    <t>SEMILLITAS</t>
  </si>
  <si>
    <t>SINFONÍA MÁGICA</t>
  </si>
  <si>
    <t>VALLE VERDE</t>
  </si>
  <si>
    <t>Nombre</t>
  </si>
  <si>
    <t>codigo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</si>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</sst>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4695-CD9A-4D3D-A31B-F56FE02D2BA5}">
  <dimension ref="A1:B43"/>
  <sheetViews>
    <sheetView workbookViewId="0">
      <selection activeCell="B2" sqref="B2"/>
    </sheetView>
  </sheetViews>
  <sheetFormatPr baseColWidth="10" defaultRowHeight="14.5" x14ac:dyDescent="0.35"/>
  <cols>
    <col min="1" max="1" width="8.81640625" bestFit="1" customWidth="1"/>
    <col min="2" max="2" width="30.54296875" bestFit="1" customWidth="1"/>
  </cols>
  <sheetData>
    <row r="1" spans="1:2" x14ac:dyDescent="0.35">
      <c r="A1" s="3" t="s">
        <v>116</v>
      </c>
      <c r="B1" s="3" t="s">
        <v>117</v>
      </c>
    </row>
    <row r="2" spans="1:2" x14ac:dyDescent="0.35">
      <c r="A2" s="3">
        <v>13102007</v>
      </c>
      <c r="B2" s="3" t="s">
        <v>108</v>
      </c>
    </row>
    <row r="3" spans="1:2" x14ac:dyDescent="0.35">
      <c r="A3" s="3">
        <v>13102008</v>
      </c>
      <c r="B3" s="3" t="s">
        <v>82</v>
      </c>
    </row>
    <row r="4" spans="1:2" x14ac:dyDescent="0.35">
      <c r="A4" s="3">
        <v>13102009</v>
      </c>
      <c r="B4" s="3" t="s">
        <v>86</v>
      </c>
    </row>
    <row r="5" spans="1:2" x14ac:dyDescent="0.35">
      <c r="A5" s="3">
        <v>13102010</v>
      </c>
      <c r="B5" s="3" t="s">
        <v>76</v>
      </c>
    </row>
    <row r="6" spans="1:2" x14ac:dyDescent="0.35">
      <c r="A6" s="3">
        <v>13102011</v>
      </c>
      <c r="B6" s="3" t="s">
        <v>107</v>
      </c>
    </row>
    <row r="7" spans="1:2" x14ac:dyDescent="0.35">
      <c r="A7" s="3">
        <v>13102013</v>
      </c>
      <c r="B7" s="3" t="s">
        <v>100</v>
      </c>
    </row>
    <row r="8" spans="1:2" x14ac:dyDescent="0.35">
      <c r="A8" s="3">
        <v>13102014</v>
      </c>
      <c r="B8" s="3" t="s">
        <v>110</v>
      </c>
    </row>
    <row r="9" spans="1:2" x14ac:dyDescent="0.35">
      <c r="A9" s="3">
        <v>13106017</v>
      </c>
      <c r="B9" s="3" t="s">
        <v>79</v>
      </c>
    </row>
    <row r="10" spans="1:2" x14ac:dyDescent="0.35">
      <c r="A10" s="3">
        <v>13106018</v>
      </c>
      <c r="B10" s="3" t="s">
        <v>95</v>
      </c>
    </row>
    <row r="11" spans="1:2" x14ac:dyDescent="0.35">
      <c r="A11" s="3">
        <v>13106019</v>
      </c>
      <c r="B11" s="3" t="s">
        <v>94</v>
      </c>
    </row>
    <row r="12" spans="1:2" x14ac:dyDescent="0.35">
      <c r="A12" s="3">
        <v>13106021</v>
      </c>
      <c r="B12" s="3" t="s">
        <v>85</v>
      </c>
    </row>
    <row r="13" spans="1:2" x14ac:dyDescent="0.35">
      <c r="A13" s="3">
        <v>13106022</v>
      </c>
      <c r="B13" s="3" t="s">
        <v>78</v>
      </c>
    </row>
    <row r="14" spans="1:2" x14ac:dyDescent="0.35">
      <c r="A14" s="3">
        <v>13106023</v>
      </c>
      <c r="B14" s="3" t="s">
        <v>91</v>
      </c>
    </row>
    <row r="15" spans="1:2" x14ac:dyDescent="0.35">
      <c r="A15" s="3">
        <v>13106024</v>
      </c>
      <c r="B15" s="3" t="s">
        <v>97</v>
      </c>
    </row>
    <row r="16" spans="1:2" x14ac:dyDescent="0.35">
      <c r="A16" s="3">
        <v>13106025</v>
      </c>
      <c r="B16" s="3" t="s">
        <v>80</v>
      </c>
    </row>
    <row r="17" spans="1:2" x14ac:dyDescent="0.35">
      <c r="A17" s="3">
        <v>13106026</v>
      </c>
      <c r="B17" s="3" t="s">
        <v>90</v>
      </c>
    </row>
    <row r="18" spans="1:2" x14ac:dyDescent="0.35">
      <c r="A18" s="3">
        <v>13119003</v>
      </c>
      <c r="B18" s="3" t="s">
        <v>104</v>
      </c>
    </row>
    <row r="19" spans="1:2" x14ac:dyDescent="0.35">
      <c r="A19" s="3">
        <v>13119004</v>
      </c>
      <c r="B19" s="3" t="s">
        <v>84</v>
      </c>
    </row>
    <row r="20" spans="1:2" x14ac:dyDescent="0.35">
      <c r="A20" s="3">
        <v>13119010</v>
      </c>
      <c r="B20" s="3" t="s">
        <v>88</v>
      </c>
    </row>
    <row r="21" spans="1:2" x14ac:dyDescent="0.35">
      <c r="A21" s="3">
        <v>13119017</v>
      </c>
      <c r="B21" s="3" t="s">
        <v>81</v>
      </c>
    </row>
    <row r="22" spans="1:2" x14ac:dyDescent="0.35">
      <c r="A22" s="3">
        <v>13119018</v>
      </c>
      <c r="B22" s="3" t="s">
        <v>109</v>
      </c>
    </row>
    <row r="23" spans="1:2" x14ac:dyDescent="0.35">
      <c r="A23" s="3">
        <v>13119019</v>
      </c>
      <c r="B23" s="3" t="s">
        <v>102</v>
      </c>
    </row>
    <row r="24" spans="1:2" x14ac:dyDescent="0.35">
      <c r="A24" s="3">
        <v>13119020</v>
      </c>
      <c r="B24" s="3" t="s">
        <v>101</v>
      </c>
    </row>
    <row r="25" spans="1:2" x14ac:dyDescent="0.35">
      <c r="A25" s="3">
        <v>13119022</v>
      </c>
      <c r="B25" s="3" t="s">
        <v>105</v>
      </c>
    </row>
    <row r="26" spans="1:2" x14ac:dyDescent="0.35">
      <c r="A26" s="3">
        <v>13119023</v>
      </c>
      <c r="B26" s="3" t="s">
        <v>99</v>
      </c>
    </row>
    <row r="27" spans="1:2" x14ac:dyDescent="0.35">
      <c r="A27" s="3">
        <v>13119024</v>
      </c>
      <c r="B27" s="3" t="s">
        <v>77</v>
      </c>
    </row>
    <row r="28" spans="1:2" x14ac:dyDescent="0.35">
      <c r="A28" s="3">
        <v>13119025</v>
      </c>
      <c r="B28" s="3" t="s">
        <v>92</v>
      </c>
    </row>
    <row r="29" spans="1:2" x14ac:dyDescent="0.35">
      <c r="A29" s="3">
        <v>13119026</v>
      </c>
      <c r="B29" s="3" t="s">
        <v>93</v>
      </c>
    </row>
    <row r="30" spans="1:2" x14ac:dyDescent="0.35">
      <c r="A30" s="3">
        <v>13119027</v>
      </c>
      <c r="B30" s="3" t="s">
        <v>83</v>
      </c>
    </row>
    <row r="31" spans="1:2" x14ac:dyDescent="0.35">
      <c r="A31" s="3">
        <v>13119028</v>
      </c>
      <c r="B31" s="3" t="s">
        <v>103</v>
      </c>
    </row>
    <row r="32" spans="1:2" x14ac:dyDescent="0.35">
      <c r="A32" s="3">
        <v>13119029</v>
      </c>
      <c r="B32" s="3" t="s">
        <v>73</v>
      </c>
    </row>
    <row r="33" spans="1:2" x14ac:dyDescent="0.35">
      <c r="A33" s="3">
        <v>13119031</v>
      </c>
      <c r="B33" s="3" t="s">
        <v>98</v>
      </c>
    </row>
    <row r="34" spans="1:2" x14ac:dyDescent="0.35">
      <c r="A34" s="3">
        <v>13119033</v>
      </c>
      <c r="B34" s="3" t="s">
        <v>96</v>
      </c>
    </row>
    <row r="35" spans="1:2" x14ac:dyDescent="0.35">
      <c r="A35" s="3">
        <v>13119034</v>
      </c>
      <c r="B35" s="3" t="s">
        <v>75</v>
      </c>
    </row>
    <row r="36" spans="1:2" x14ac:dyDescent="0.35">
      <c r="A36" s="3">
        <v>13119035</v>
      </c>
      <c r="B36" s="3" t="s">
        <v>106</v>
      </c>
    </row>
    <row r="37" spans="1:2" x14ac:dyDescent="0.35">
      <c r="A37" s="3">
        <v>13119036</v>
      </c>
      <c r="B37" s="3" t="s">
        <v>74</v>
      </c>
    </row>
    <row r="38" spans="1:2" x14ac:dyDescent="0.35">
      <c r="A38" s="3">
        <v>13119042</v>
      </c>
      <c r="B38" s="3" t="s">
        <v>89</v>
      </c>
    </row>
    <row r="39" spans="1:2" x14ac:dyDescent="0.35">
      <c r="A39" s="3">
        <v>13119043</v>
      </c>
      <c r="B39" s="3" t="s">
        <v>87</v>
      </c>
    </row>
    <row r="40" spans="1:2" x14ac:dyDescent="0.35">
      <c r="A40" s="3">
        <v>13119021</v>
      </c>
      <c r="B40" s="3" t="s">
        <v>111</v>
      </c>
    </row>
    <row r="41" spans="1:2" x14ac:dyDescent="0.35">
      <c r="A41" s="3">
        <v>13119030</v>
      </c>
      <c r="B41" s="3" t="s">
        <v>112</v>
      </c>
    </row>
    <row r="42" spans="1:2" x14ac:dyDescent="0.35">
      <c r="A42" s="3">
        <v>13119032</v>
      </c>
      <c r="B42" s="3" t="s">
        <v>113</v>
      </c>
    </row>
    <row r="43" spans="1:2" x14ac:dyDescent="0.35">
      <c r="A43" s="3">
        <v>13119040</v>
      </c>
      <c r="B43" s="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topLeftCell="A37" workbookViewId="0">
      <selection activeCell="A61" sqref="A61"/>
    </sheetView>
  </sheetViews>
  <sheetFormatPr baseColWidth="10" defaultColWidth="8.7265625" defaultRowHeight="14.5" x14ac:dyDescent="0.35"/>
  <cols>
    <col min="1" max="1" width="14.54296875" bestFit="1" customWidth="1"/>
    <col min="2" max="2" width="5.1796875" bestFit="1" customWidth="1"/>
    <col min="3" max="4" width="21.1796875" customWidth="1"/>
    <col min="5" max="5" width="29.1796875" bestFit="1" customWidth="1"/>
    <col min="6" max="6" width="12.90625" bestFit="1" customWidth="1"/>
    <col min="10" max="10" width="17.7265625" bestFit="1" customWidth="1"/>
    <col min="11" max="11" width="11.7265625" bestFit="1" customWidth="1"/>
  </cols>
  <sheetData>
    <row r="1" spans="1:11" x14ac:dyDescent="0.35">
      <c r="A1" s="1" t="s">
        <v>0</v>
      </c>
      <c r="B1" s="1" t="s">
        <v>1</v>
      </c>
      <c r="C1" s="1" t="s">
        <v>115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>
        <v>13119029</v>
      </c>
      <c r="B2" t="s">
        <v>10</v>
      </c>
      <c r="C2" t="str">
        <f>VLOOKUP(A2,codigos!A$2:B$43,2,FALSE)</f>
        <v>AITUÉ</v>
      </c>
      <c r="D2" t="s">
        <v>73</v>
      </c>
      <c r="E2" t="s">
        <v>11</v>
      </c>
      <c r="F2" t="s">
        <v>12</v>
      </c>
      <c r="G2">
        <v>32</v>
      </c>
      <c r="H2">
        <v>31</v>
      </c>
      <c r="I2">
        <v>1</v>
      </c>
      <c r="J2" t="s">
        <v>13</v>
      </c>
      <c r="K2">
        <v>96.88</v>
      </c>
    </row>
    <row r="3" spans="1:11" x14ac:dyDescent="0.35">
      <c r="A3">
        <v>13119029</v>
      </c>
      <c r="B3" t="s">
        <v>14</v>
      </c>
      <c r="C3" t="str">
        <f>VLOOKUP(A3,codigos!A$2:B$43,2,FALSE)</f>
        <v>AITUÉ</v>
      </c>
      <c r="D3" t="s">
        <v>73</v>
      </c>
      <c r="E3" t="s">
        <v>15</v>
      </c>
      <c r="F3" t="s">
        <v>12</v>
      </c>
      <c r="G3">
        <v>32</v>
      </c>
      <c r="H3">
        <v>31</v>
      </c>
      <c r="I3">
        <v>1</v>
      </c>
      <c r="J3" t="s">
        <v>13</v>
      </c>
      <c r="K3">
        <v>96.88</v>
      </c>
    </row>
    <row r="4" spans="1:11" x14ac:dyDescent="0.35">
      <c r="A4">
        <v>13119029</v>
      </c>
      <c r="B4" t="s">
        <v>16</v>
      </c>
      <c r="C4" t="str">
        <f>VLOOKUP(A4,codigos!A$2:B$43,2,FALSE)</f>
        <v>AITUÉ</v>
      </c>
      <c r="D4" t="s">
        <v>73</v>
      </c>
      <c r="E4" t="s">
        <v>17</v>
      </c>
      <c r="F4" t="s">
        <v>12</v>
      </c>
      <c r="G4">
        <v>20</v>
      </c>
      <c r="H4">
        <v>19</v>
      </c>
      <c r="I4">
        <v>1</v>
      </c>
      <c r="J4" t="s">
        <v>13</v>
      </c>
      <c r="K4">
        <v>95</v>
      </c>
    </row>
    <row r="5" spans="1:11" x14ac:dyDescent="0.35">
      <c r="A5" s="2">
        <v>13119036</v>
      </c>
      <c r="B5" t="s">
        <v>19</v>
      </c>
      <c r="C5" t="str">
        <f>VLOOKUP(A5,codigos!A$2:B$43,2,FALSE)</f>
        <v>ALON KURA</v>
      </c>
      <c r="D5" t="s">
        <v>74</v>
      </c>
      <c r="E5" t="s">
        <v>11</v>
      </c>
      <c r="F5" t="s">
        <v>12</v>
      </c>
      <c r="G5">
        <v>32</v>
      </c>
      <c r="H5">
        <v>31</v>
      </c>
      <c r="I5">
        <v>1</v>
      </c>
      <c r="J5" t="s">
        <v>13</v>
      </c>
      <c r="K5">
        <v>96.88</v>
      </c>
    </row>
    <row r="6" spans="1:11" x14ac:dyDescent="0.35">
      <c r="A6">
        <v>13119036</v>
      </c>
      <c r="B6" t="s">
        <v>20</v>
      </c>
      <c r="C6" t="str">
        <f>VLOOKUP(A6,codigos!A$2:B$43,2,FALSE)</f>
        <v>ALON KURA</v>
      </c>
      <c r="D6" t="s">
        <v>74</v>
      </c>
      <c r="E6" t="s">
        <v>11</v>
      </c>
      <c r="F6" t="s">
        <v>12</v>
      </c>
      <c r="G6">
        <v>32</v>
      </c>
      <c r="H6">
        <v>30</v>
      </c>
      <c r="I6">
        <v>2</v>
      </c>
      <c r="J6" t="s">
        <v>13</v>
      </c>
      <c r="K6">
        <v>93.75</v>
      </c>
    </row>
    <row r="7" spans="1:11" x14ac:dyDescent="0.35">
      <c r="A7">
        <v>13119036</v>
      </c>
      <c r="B7" t="s">
        <v>21</v>
      </c>
      <c r="C7" t="str">
        <f>VLOOKUP(A7,codigos!A$2:B$43,2,FALSE)</f>
        <v>ALON KURA</v>
      </c>
      <c r="D7" t="s">
        <v>74</v>
      </c>
      <c r="E7" t="s">
        <v>15</v>
      </c>
      <c r="F7" t="s">
        <v>12</v>
      </c>
      <c r="G7">
        <v>28</v>
      </c>
      <c r="H7">
        <v>28</v>
      </c>
      <c r="I7">
        <v>0</v>
      </c>
      <c r="J7" t="s">
        <v>13</v>
      </c>
      <c r="K7">
        <v>100</v>
      </c>
    </row>
    <row r="8" spans="1:11" x14ac:dyDescent="0.35">
      <c r="A8">
        <v>13119036</v>
      </c>
      <c r="B8" t="s">
        <v>16</v>
      </c>
      <c r="C8" t="str">
        <f>VLOOKUP(A8,codigos!A$2:B$43,2,FALSE)</f>
        <v>ALON KURA</v>
      </c>
      <c r="D8" t="s">
        <v>74</v>
      </c>
      <c r="E8" t="s">
        <v>22</v>
      </c>
      <c r="F8" t="s">
        <v>12</v>
      </c>
      <c r="G8">
        <v>20</v>
      </c>
      <c r="H8">
        <v>20</v>
      </c>
      <c r="I8">
        <v>0</v>
      </c>
      <c r="J8" t="s">
        <v>13</v>
      </c>
      <c r="K8">
        <v>100</v>
      </c>
    </row>
    <row r="9" spans="1:11" x14ac:dyDescent="0.35">
      <c r="A9">
        <v>13119036</v>
      </c>
      <c r="B9" t="s">
        <v>14</v>
      </c>
      <c r="C9" t="str">
        <f>VLOOKUP(A9,codigos!A$2:B$43,2,FALSE)</f>
        <v>ALON KURA</v>
      </c>
      <c r="D9" t="s">
        <v>74</v>
      </c>
      <c r="E9" t="s">
        <v>17</v>
      </c>
      <c r="F9" t="s">
        <v>12</v>
      </c>
      <c r="G9">
        <v>20</v>
      </c>
      <c r="H9">
        <v>20</v>
      </c>
      <c r="I9">
        <v>0</v>
      </c>
      <c r="J9" t="s">
        <v>13</v>
      </c>
      <c r="K9">
        <v>100</v>
      </c>
    </row>
    <row r="10" spans="1:11" x14ac:dyDescent="0.35">
      <c r="A10">
        <v>13119036</v>
      </c>
      <c r="B10" t="s">
        <v>10</v>
      </c>
      <c r="C10" t="str">
        <f>VLOOKUP(A10,codigos!A$2:B$43,2,FALSE)</f>
        <v>ALON KURA</v>
      </c>
      <c r="D10" t="s">
        <v>74</v>
      </c>
      <c r="E10" t="s">
        <v>15</v>
      </c>
      <c r="F10" t="s">
        <v>12</v>
      </c>
      <c r="G10">
        <v>28</v>
      </c>
      <c r="H10">
        <v>28</v>
      </c>
      <c r="I10">
        <v>0</v>
      </c>
      <c r="J10" t="s">
        <v>13</v>
      </c>
      <c r="K10">
        <v>100</v>
      </c>
    </row>
    <row r="11" spans="1:11" x14ac:dyDescent="0.35">
      <c r="A11">
        <v>13119034</v>
      </c>
      <c r="B11" t="s">
        <v>16</v>
      </c>
      <c r="C11" t="str">
        <f>VLOOKUP(A11,codigos!A$2:B$43,2,FALSE)</f>
        <v>ALTAWEÑI</v>
      </c>
      <c r="D11" t="s">
        <v>75</v>
      </c>
      <c r="E11" t="s">
        <v>17</v>
      </c>
      <c r="F11" t="s">
        <v>12</v>
      </c>
      <c r="G11">
        <v>20</v>
      </c>
      <c r="H11">
        <v>11</v>
      </c>
      <c r="I11">
        <v>9</v>
      </c>
      <c r="J11" t="s">
        <v>13</v>
      </c>
      <c r="K11">
        <v>55</v>
      </c>
    </row>
    <row r="12" spans="1:11" x14ac:dyDescent="0.35">
      <c r="A12">
        <v>13119034</v>
      </c>
      <c r="B12" t="s">
        <v>10</v>
      </c>
      <c r="C12" t="str">
        <f>VLOOKUP(A12,codigos!A$2:B$43,2,FALSE)</f>
        <v>ALTAWEÑI</v>
      </c>
      <c r="D12" t="s">
        <v>75</v>
      </c>
      <c r="E12" t="s">
        <v>11</v>
      </c>
      <c r="F12" t="s">
        <v>12</v>
      </c>
      <c r="G12">
        <v>32</v>
      </c>
      <c r="H12">
        <v>32</v>
      </c>
      <c r="I12">
        <v>0</v>
      </c>
      <c r="J12" t="s">
        <v>13</v>
      </c>
      <c r="K12">
        <v>100</v>
      </c>
    </row>
    <row r="13" spans="1:11" x14ac:dyDescent="0.35">
      <c r="A13">
        <v>13119034</v>
      </c>
      <c r="B13" t="s">
        <v>14</v>
      </c>
      <c r="C13" t="str">
        <f>VLOOKUP(A13,codigos!A$2:B$43,2,FALSE)</f>
        <v>ALTAWEÑI</v>
      </c>
      <c r="D13" t="s">
        <v>75</v>
      </c>
      <c r="E13" t="s">
        <v>15</v>
      </c>
      <c r="F13" t="s">
        <v>12</v>
      </c>
      <c r="G13">
        <v>28</v>
      </c>
      <c r="H13">
        <v>28</v>
      </c>
      <c r="I13">
        <v>0</v>
      </c>
      <c r="J13" t="s">
        <v>13</v>
      </c>
      <c r="K13">
        <v>100</v>
      </c>
    </row>
    <row r="14" spans="1:11" x14ac:dyDescent="0.35">
      <c r="A14">
        <v>13102010</v>
      </c>
      <c r="B14" t="s">
        <v>16</v>
      </c>
      <c r="C14" t="str">
        <f>VLOOKUP(A14,codigos!A$2:B$43,2,FALSE)</f>
        <v>ANGEL FANTUZI</v>
      </c>
      <c r="D14" t="s">
        <v>76</v>
      </c>
      <c r="E14" t="s">
        <v>22</v>
      </c>
      <c r="F14" t="s">
        <v>12</v>
      </c>
      <c r="G14">
        <v>20</v>
      </c>
      <c r="H14">
        <v>9</v>
      </c>
      <c r="I14">
        <v>11</v>
      </c>
      <c r="J14" t="s">
        <v>13</v>
      </c>
      <c r="K14">
        <v>45</v>
      </c>
    </row>
    <row r="15" spans="1:11" x14ac:dyDescent="0.35">
      <c r="A15">
        <v>13102010</v>
      </c>
      <c r="B15" t="s">
        <v>14</v>
      </c>
      <c r="C15" t="str">
        <f>VLOOKUP(A15,codigos!A$2:B$43,2,FALSE)</f>
        <v>ANGEL FANTUZI</v>
      </c>
      <c r="D15" t="s">
        <v>76</v>
      </c>
      <c r="E15" t="s">
        <v>17</v>
      </c>
      <c r="F15" t="s">
        <v>12</v>
      </c>
      <c r="G15">
        <v>20</v>
      </c>
      <c r="H15">
        <v>9</v>
      </c>
      <c r="I15">
        <v>11</v>
      </c>
      <c r="J15" t="s">
        <v>13</v>
      </c>
      <c r="K15">
        <v>45</v>
      </c>
    </row>
    <row r="16" spans="1:11" x14ac:dyDescent="0.35">
      <c r="A16">
        <v>13102010</v>
      </c>
      <c r="B16" t="s">
        <v>10</v>
      </c>
      <c r="C16" t="str">
        <f>VLOOKUP(A16,codigos!A$2:B$43,2,FALSE)</f>
        <v>ANGEL FANTUZI</v>
      </c>
      <c r="D16" t="s">
        <v>76</v>
      </c>
      <c r="E16" t="s">
        <v>15</v>
      </c>
      <c r="F16" t="s">
        <v>12</v>
      </c>
      <c r="G16">
        <v>32</v>
      </c>
      <c r="H16">
        <v>25</v>
      </c>
      <c r="I16">
        <v>7</v>
      </c>
      <c r="J16" t="s">
        <v>13</v>
      </c>
      <c r="K16">
        <v>78.12</v>
      </c>
    </row>
    <row r="17" spans="1:11" x14ac:dyDescent="0.35">
      <c r="A17">
        <v>13102010</v>
      </c>
      <c r="B17" t="s">
        <v>21</v>
      </c>
      <c r="C17" t="str">
        <f>VLOOKUP(A17,codigos!A$2:B$43,2,FALSE)</f>
        <v>ANGEL FANTUZI</v>
      </c>
      <c r="D17" t="s">
        <v>76</v>
      </c>
      <c r="E17" t="s">
        <v>11</v>
      </c>
      <c r="F17" t="s">
        <v>12</v>
      </c>
      <c r="G17">
        <v>32</v>
      </c>
      <c r="H17">
        <v>24</v>
      </c>
      <c r="I17">
        <v>8</v>
      </c>
      <c r="J17" t="s">
        <v>13</v>
      </c>
      <c r="K17">
        <v>75</v>
      </c>
    </row>
    <row r="18" spans="1:11" x14ac:dyDescent="0.35">
      <c r="A18">
        <v>13119024</v>
      </c>
      <c r="B18" t="s">
        <v>16</v>
      </c>
      <c r="C18" t="str">
        <f>VLOOKUP(A18,codigos!A$2:B$43,2,FALSE)</f>
        <v>ANKATU</v>
      </c>
      <c r="D18" t="s">
        <v>77</v>
      </c>
      <c r="E18" t="s">
        <v>26</v>
      </c>
      <c r="F18" t="s">
        <v>12</v>
      </c>
      <c r="G18">
        <v>14</v>
      </c>
      <c r="H18">
        <v>12</v>
      </c>
      <c r="I18">
        <v>2</v>
      </c>
      <c r="J18" t="s">
        <v>13</v>
      </c>
      <c r="K18">
        <v>85.71</v>
      </c>
    </row>
    <row r="19" spans="1:11" x14ac:dyDescent="0.35">
      <c r="A19">
        <v>13119024</v>
      </c>
      <c r="B19" t="s">
        <v>14</v>
      </c>
      <c r="C19" t="str">
        <f>VLOOKUP(A19,codigos!A$2:B$43,2,FALSE)</f>
        <v>ANKATU</v>
      </c>
      <c r="D19" t="s">
        <v>77</v>
      </c>
      <c r="E19" t="s">
        <v>17</v>
      </c>
      <c r="F19" t="s">
        <v>12</v>
      </c>
      <c r="G19">
        <v>14</v>
      </c>
      <c r="H19">
        <v>11</v>
      </c>
      <c r="I19">
        <v>3</v>
      </c>
      <c r="J19" t="s">
        <v>13</v>
      </c>
      <c r="K19">
        <v>78.569999999999993</v>
      </c>
    </row>
    <row r="20" spans="1:11" x14ac:dyDescent="0.35">
      <c r="A20">
        <v>13106022</v>
      </c>
      <c r="B20" t="s">
        <v>14</v>
      </c>
      <c r="C20" t="str">
        <f>VLOOKUP(A20,codigos!A$2:B$43,2,FALSE)</f>
        <v>ARTEMISA</v>
      </c>
      <c r="D20" t="s">
        <v>78</v>
      </c>
      <c r="E20" t="s">
        <v>15</v>
      </c>
      <c r="F20" t="s">
        <v>12</v>
      </c>
      <c r="G20">
        <v>32</v>
      </c>
      <c r="H20">
        <v>32</v>
      </c>
      <c r="I20">
        <v>0</v>
      </c>
      <c r="J20" t="s">
        <v>13</v>
      </c>
      <c r="K20">
        <v>100</v>
      </c>
    </row>
    <row r="21" spans="1:11" x14ac:dyDescent="0.35">
      <c r="A21">
        <v>13106022</v>
      </c>
      <c r="B21" t="s">
        <v>10</v>
      </c>
      <c r="C21" t="str">
        <f>VLOOKUP(A21,codigos!A$2:B$43,2,FALSE)</f>
        <v>ARTEMISA</v>
      </c>
      <c r="D21" t="s">
        <v>78</v>
      </c>
      <c r="E21" t="s">
        <v>11</v>
      </c>
      <c r="F21" t="s">
        <v>12</v>
      </c>
      <c r="G21">
        <v>32</v>
      </c>
      <c r="H21">
        <v>32</v>
      </c>
      <c r="I21">
        <v>0</v>
      </c>
      <c r="J21" t="s">
        <v>13</v>
      </c>
      <c r="K21">
        <v>100</v>
      </c>
    </row>
    <row r="22" spans="1:11" x14ac:dyDescent="0.35">
      <c r="A22">
        <v>13106022</v>
      </c>
      <c r="B22" t="s">
        <v>16</v>
      </c>
      <c r="C22" t="str">
        <f>VLOOKUP(A22,codigos!A$2:B$43,2,FALSE)</f>
        <v>ARTEMISA</v>
      </c>
      <c r="D22" t="s">
        <v>78</v>
      </c>
      <c r="E22" t="s">
        <v>17</v>
      </c>
      <c r="F22" t="s">
        <v>12</v>
      </c>
      <c r="G22">
        <v>20</v>
      </c>
      <c r="H22">
        <v>20</v>
      </c>
      <c r="I22">
        <v>0</v>
      </c>
      <c r="J22" t="s">
        <v>13</v>
      </c>
      <c r="K22">
        <v>100</v>
      </c>
    </row>
    <row r="23" spans="1:11" x14ac:dyDescent="0.35">
      <c r="A23">
        <v>13106017</v>
      </c>
      <c r="B23" t="s">
        <v>21</v>
      </c>
      <c r="C23" t="str">
        <f>VLOOKUP(A23,codigos!A$2:B$43,2,FALSE)</f>
        <v>AVELUZ</v>
      </c>
      <c r="D23" t="s">
        <v>79</v>
      </c>
      <c r="E23" t="s">
        <v>11</v>
      </c>
      <c r="F23" t="s">
        <v>12</v>
      </c>
      <c r="G23">
        <v>32</v>
      </c>
      <c r="H23">
        <v>32</v>
      </c>
      <c r="I23">
        <v>0</v>
      </c>
      <c r="J23" t="s">
        <v>13</v>
      </c>
      <c r="K23">
        <v>100</v>
      </c>
    </row>
    <row r="24" spans="1:11" x14ac:dyDescent="0.35">
      <c r="A24">
        <v>13106017</v>
      </c>
      <c r="B24" t="s">
        <v>10</v>
      </c>
      <c r="C24" t="str">
        <f>VLOOKUP(A24,codigos!A$2:B$43,2,FALSE)</f>
        <v>AVELUZ</v>
      </c>
      <c r="D24" t="s">
        <v>79</v>
      </c>
      <c r="E24" t="s">
        <v>15</v>
      </c>
      <c r="F24" t="s">
        <v>12</v>
      </c>
      <c r="G24">
        <v>32</v>
      </c>
      <c r="H24">
        <v>32</v>
      </c>
      <c r="I24">
        <v>0</v>
      </c>
      <c r="J24" t="s">
        <v>13</v>
      </c>
      <c r="K24">
        <v>100</v>
      </c>
    </row>
    <row r="25" spans="1:11" x14ac:dyDescent="0.35">
      <c r="A25">
        <v>13106017</v>
      </c>
      <c r="B25" t="s">
        <v>16</v>
      </c>
      <c r="C25" t="str">
        <f>VLOOKUP(A25,codigos!A$2:B$43,2,FALSE)</f>
        <v>AVELUZ</v>
      </c>
      <c r="D25" t="s">
        <v>79</v>
      </c>
      <c r="E25" t="s">
        <v>26</v>
      </c>
      <c r="F25" t="s">
        <v>12</v>
      </c>
      <c r="G25">
        <v>20</v>
      </c>
      <c r="H25">
        <v>10</v>
      </c>
      <c r="I25">
        <v>10</v>
      </c>
      <c r="J25" t="s">
        <v>13</v>
      </c>
      <c r="K25">
        <v>50</v>
      </c>
    </row>
    <row r="26" spans="1:11" x14ac:dyDescent="0.35">
      <c r="A26">
        <v>13106017</v>
      </c>
      <c r="B26" t="s">
        <v>14</v>
      </c>
      <c r="C26" t="str">
        <f>VLOOKUP(A26,codigos!A$2:B$43,2,FALSE)</f>
        <v>AVELUZ</v>
      </c>
      <c r="D26" t="s">
        <v>79</v>
      </c>
      <c r="E26" t="s">
        <v>17</v>
      </c>
      <c r="F26" t="s">
        <v>12</v>
      </c>
      <c r="G26">
        <v>20</v>
      </c>
      <c r="H26">
        <v>19</v>
      </c>
      <c r="I26">
        <v>1</v>
      </c>
      <c r="J26" t="s">
        <v>13</v>
      </c>
      <c r="K26">
        <v>95</v>
      </c>
    </row>
    <row r="27" spans="1:11" x14ac:dyDescent="0.35">
      <c r="A27">
        <v>13106025</v>
      </c>
      <c r="B27" t="s">
        <v>21</v>
      </c>
      <c r="C27" t="str">
        <f>VLOOKUP(A27,codigos!A$2:B$43,2,FALSE)</f>
        <v>AYELÉN</v>
      </c>
      <c r="D27" t="s">
        <v>80</v>
      </c>
      <c r="E27" t="s">
        <v>11</v>
      </c>
      <c r="F27" t="s">
        <v>12</v>
      </c>
      <c r="G27">
        <v>32</v>
      </c>
      <c r="H27">
        <v>32</v>
      </c>
      <c r="I27">
        <v>0</v>
      </c>
      <c r="J27" t="s">
        <v>13</v>
      </c>
      <c r="K27">
        <v>100</v>
      </c>
    </row>
    <row r="28" spans="1:11" x14ac:dyDescent="0.35">
      <c r="A28">
        <v>13106025</v>
      </c>
      <c r="B28" t="s">
        <v>14</v>
      </c>
      <c r="C28" t="str">
        <f>VLOOKUP(A28,codigos!A$2:B$43,2,FALSE)</f>
        <v>AYELÉN</v>
      </c>
      <c r="D28" t="s">
        <v>80</v>
      </c>
      <c r="E28" t="s">
        <v>17</v>
      </c>
      <c r="F28" t="s">
        <v>12</v>
      </c>
      <c r="G28">
        <v>20</v>
      </c>
      <c r="H28">
        <v>16</v>
      </c>
      <c r="I28">
        <v>4</v>
      </c>
      <c r="J28" t="s">
        <v>13</v>
      </c>
      <c r="K28">
        <v>80</v>
      </c>
    </row>
    <row r="29" spans="1:11" x14ac:dyDescent="0.35">
      <c r="A29">
        <v>13106025</v>
      </c>
      <c r="B29" t="s">
        <v>16</v>
      </c>
      <c r="C29" t="str">
        <f>VLOOKUP(A29,codigos!A$2:B$43,2,FALSE)</f>
        <v>AYELÉN</v>
      </c>
      <c r="D29" t="s">
        <v>80</v>
      </c>
      <c r="E29" t="s">
        <v>26</v>
      </c>
      <c r="F29" t="s">
        <v>12</v>
      </c>
      <c r="G29">
        <v>20</v>
      </c>
      <c r="H29">
        <v>13</v>
      </c>
      <c r="I29">
        <v>7</v>
      </c>
      <c r="J29" t="s">
        <v>13</v>
      </c>
      <c r="K29">
        <v>65</v>
      </c>
    </row>
    <row r="30" spans="1:11" x14ac:dyDescent="0.35">
      <c r="A30">
        <v>13106025</v>
      </c>
      <c r="B30" t="s">
        <v>10</v>
      </c>
      <c r="C30" t="str">
        <f>VLOOKUP(A30,codigos!A$2:B$43,2,FALSE)</f>
        <v>AYELÉN</v>
      </c>
      <c r="D30" t="s">
        <v>80</v>
      </c>
      <c r="E30" t="s">
        <v>15</v>
      </c>
      <c r="F30" t="s">
        <v>12</v>
      </c>
      <c r="G30">
        <v>32</v>
      </c>
      <c r="H30">
        <v>24</v>
      </c>
      <c r="I30">
        <v>8</v>
      </c>
      <c r="J30" t="s">
        <v>13</v>
      </c>
      <c r="K30">
        <v>75</v>
      </c>
    </row>
    <row r="31" spans="1:11" x14ac:dyDescent="0.35">
      <c r="A31">
        <v>13119017</v>
      </c>
      <c r="B31" t="s">
        <v>21</v>
      </c>
      <c r="C31" t="str">
        <f>VLOOKUP(A31,codigos!A$2:B$43,2,FALSE)</f>
        <v>BLANCO ENCALADA</v>
      </c>
      <c r="D31" t="s">
        <v>81</v>
      </c>
      <c r="E31" t="s">
        <v>11</v>
      </c>
      <c r="F31" t="s">
        <v>12</v>
      </c>
      <c r="G31">
        <v>32</v>
      </c>
      <c r="H31">
        <v>21</v>
      </c>
      <c r="I31">
        <v>11</v>
      </c>
      <c r="J31" t="s">
        <v>13</v>
      </c>
      <c r="K31">
        <v>65.62</v>
      </c>
    </row>
    <row r="32" spans="1:11" x14ac:dyDescent="0.35">
      <c r="A32">
        <v>13119017</v>
      </c>
      <c r="B32" t="s">
        <v>16</v>
      </c>
      <c r="C32" t="str">
        <f>VLOOKUP(A32,codigos!A$2:B$43,2,FALSE)</f>
        <v>BLANCO ENCALADA</v>
      </c>
      <c r="D32" t="s">
        <v>81</v>
      </c>
      <c r="E32" t="s">
        <v>22</v>
      </c>
      <c r="F32" t="s">
        <v>12</v>
      </c>
      <c r="G32">
        <v>20</v>
      </c>
      <c r="H32">
        <v>7</v>
      </c>
      <c r="I32">
        <v>13</v>
      </c>
      <c r="J32" t="s">
        <v>13</v>
      </c>
      <c r="K32">
        <v>35</v>
      </c>
    </row>
    <row r="33" spans="1:11" x14ac:dyDescent="0.35">
      <c r="A33">
        <v>13119017</v>
      </c>
      <c r="B33" t="s">
        <v>14</v>
      </c>
      <c r="C33" t="str">
        <f>VLOOKUP(A33,codigos!A$2:B$43,2,FALSE)</f>
        <v>BLANCO ENCALADA</v>
      </c>
      <c r="D33" t="s">
        <v>81</v>
      </c>
      <c r="E33" t="s">
        <v>17</v>
      </c>
      <c r="F33" t="s">
        <v>12</v>
      </c>
      <c r="G33">
        <v>20</v>
      </c>
      <c r="H33">
        <v>14</v>
      </c>
      <c r="I33">
        <v>6</v>
      </c>
      <c r="J33" t="s">
        <v>13</v>
      </c>
      <c r="K33">
        <v>70</v>
      </c>
    </row>
    <row r="34" spans="1:11" x14ac:dyDescent="0.35">
      <c r="A34">
        <v>13119017</v>
      </c>
      <c r="B34" t="s">
        <v>10</v>
      </c>
      <c r="C34" t="str">
        <f>VLOOKUP(A34,codigos!A$2:B$43,2,FALSE)</f>
        <v>BLANCO ENCALADA</v>
      </c>
      <c r="D34" t="s">
        <v>81</v>
      </c>
      <c r="E34" t="s">
        <v>15</v>
      </c>
      <c r="F34" t="s">
        <v>12</v>
      </c>
      <c r="G34">
        <v>28</v>
      </c>
      <c r="H34">
        <v>24</v>
      </c>
      <c r="I34">
        <v>4</v>
      </c>
      <c r="J34" t="s">
        <v>13</v>
      </c>
      <c r="K34">
        <v>85.71</v>
      </c>
    </row>
    <row r="35" spans="1:11" x14ac:dyDescent="0.35">
      <c r="A35">
        <v>13119017</v>
      </c>
      <c r="B35" t="s">
        <v>19</v>
      </c>
      <c r="C35" t="str">
        <f>VLOOKUP(A35,codigos!A$2:B$43,2,FALSE)</f>
        <v>BLANCO ENCALADA</v>
      </c>
      <c r="D35" t="s">
        <v>81</v>
      </c>
      <c r="E35" t="s">
        <v>31</v>
      </c>
      <c r="F35" t="s">
        <v>12</v>
      </c>
      <c r="G35">
        <v>32</v>
      </c>
      <c r="H35">
        <v>14</v>
      </c>
      <c r="I35">
        <v>18</v>
      </c>
      <c r="J35" t="s">
        <v>13</v>
      </c>
      <c r="K35">
        <v>43.75</v>
      </c>
    </row>
    <row r="36" spans="1:11" x14ac:dyDescent="0.35">
      <c r="A36">
        <v>13102008</v>
      </c>
      <c r="B36" t="s">
        <v>14</v>
      </c>
      <c r="C36" t="str">
        <f>VLOOKUP(A36,codigos!A$2:B$43,2,FALSE)</f>
        <v>CARDENAL RAÚL SILVA HENRÍQUEZ</v>
      </c>
      <c r="D36" t="s">
        <v>82</v>
      </c>
      <c r="E36" t="s">
        <v>17</v>
      </c>
      <c r="F36" t="s">
        <v>12</v>
      </c>
      <c r="G36">
        <v>20</v>
      </c>
      <c r="H36">
        <v>19</v>
      </c>
      <c r="I36">
        <v>1</v>
      </c>
      <c r="J36" t="s">
        <v>13</v>
      </c>
      <c r="K36">
        <v>95</v>
      </c>
    </row>
    <row r="37" spans="1:11" x14ac:dyDescent="0.35">
      <c r="A37">
        <v>13102008</v>
      </c>
      <c r="B37" t="s">
        <v>10</v>
      </c>
      <c r="C37" t="str">
        <f>VLOOKUP(A37,codigos!A$2:B$43,2,FALSE)</f>
        <v>CARDENAL RAÚL SILVA HENRÍQUEZ</v>
      </c>
      <c r="D37" t="s">
        <v>82</v>
      </c>
      <c r="E37" t="s">
        <v>15</v>
      </c>
      <c r="F37" t="s">
        <v>12</v>
      </c>
      <c r="G37">
        <v>32</v>
      </c>
      <c r="H37">
        <v>30</v>
      </c>
      <c r="I37">
        <v>2</v>
      </c>
      <c r="J37" t="s">
        <v>13</v>
      </c>
      <c r="K37">
        <v>93.75</v>
      </c>
    </row>
    <row r="38" spans="1:11" x14ac:dyDescent="0.35">
      <c r="A38">
        <v>13102008</v>
      </c>
      <c r="B38" t="s">
        <v>16</v>
      </c>
      <c r="C38" t="str">
        <f>VLOOKUP(A38,codigos!A$2:B$43,2,FALSE)</f>
        <v>CARDENAL RAÚL SILVA HENRÍQUEZ</v>
      </c>
      <c r="D38" t="s">
        <v>82</v>
      </c>
      <c r="E38" t="s">
        <v>26</v>
      </c>
      <c r="F38" t="s">
        <v>12</v>
      </c>
      <c r="G38">
        <v>20</v>
      </c>
      <c r="H38">
        <v>7</v>
      </c>
      <c r="I38">
        <v>13</v>
      </c>
      <c r="J38" t="s">
        <v>13</v>
      </c>
      <c r="K38">
        <v>35</v>
      </c>
    </row>
    <row r="39" spans="1:11" x14ac:dyDescent="0.35">
      <c r="A39">
        <v>13102008</v>
      </c>
      <c r="B39" t="s">
        <v>21</v>
      </c>
      <c r="C39" t="str">
        <f>VLOOKUP(A39,codigos!A$2:B$43,2,FALSE)</f>
        <v>CARDENAL RAÚL SILVA HENRÍQUEZ</v>
      </c>
      <c r="D39" t="s">
        <v>82</v>
      </c>
      <c r="E39" t="s">
        <v>11</v>
      </c>
      <c r="F39" t="s">
        <v>12</v>
      </c>
      <c r="G39">
        <v>32</v>
      </c>
      <c r="H39">
        <v>31</v>
      </c>
      <c r="I39">
        <v>1</v>
      </c>
      <c r="J39" t="s">
        <v>13</v>
      </c>
      <c r="K39">
        <v>96.88</v>
      </c>
    </row>
    <row r="40" spans="1:11" x14ac:dyDescent="0.35">
      <c r="A40">
        <v>13119027</v>
      </c>
      <c r="B40" t="s">
        <v>16</v>
      </c>
      <c r="C40" t="str">
        <f>VLOOKUP(A40,codigos!A$2:B$43,2,FALSE)</f>
        <v>CASCANUECES</v>
      </c>
      <c r="D40" t="s">
        <v>83</v>
      </c>
      <c r="E40" t="s">
        <v>17</v>
      </c>
      <c r="F40" t="s">
        <v>12</v>
      </c>
      <c r="G40">
        <v>20</v>
      </c>
      <c r="H40">
        <v>16</v>
      </c>
      <c r="I40">
        <v>4</v>
      </c>
      <c r="J40" t="s">
        <v>13</v>
      </c>
      <c r="K40">
        <v>80</v>
      </c>
    </row>
    <row r="41" spans="1:11" x14ac:dyDescent="0.35">
      <c r="A41">
        <v>13119027</v>
      </c>
      <c r="B41" t="s">
        <v>14</v>
      </c>
      <c r="C41" t="str">
        <f>VLOOKUP(A41,codigos!A$2:B$43,2,FALSE)</f>
        <v>CASCANUECES</v>
      </c>
      <c r="D41" t="s">
        <v>83</v>
      </c>
      <c r="E41" t="s">
        <v>15</v>
      </c>
      <c r="F41" t="s">
        <v>12</v>
      </c>
      <c r="G41">
        <v>32</v>
      </c>
      <c r="H41">
        <v>31</v>
      </c>
      <c r="I41">
        <v>1</v>
      </c>
      <c r="J41" t="s">
        <v>13</v>
      </c>
      <c r="K41">
        <v>96.88</v>
      </c>
    </row>
    <row r="42" spans="1:11" x14ac:dyDescent="0.35">
      <c r="A42">
        <v>13119004</v>
      </c>
      <c r="B42" t="s">
        <v>14</v>
      </c>
      <c r="C42" t="str">
        <f>VLOOKUP(A42,codigos!A$2:B$43,2,FALSE)</f>
        <v>DIVINA PROVIDENCIA</v>
      </c>
      <c r="D42" t="s">
        <v>84</v>
      </c>
      <c r="E42" t="s">
        <v>17</v>
      </c>
      <c r="F42" t="s">
        <v>12</v>
      </c>
      <c r="G42">
        <v>14</v>
      </c>
      <c r="H42">
        <v>6</v>
      </c>
      <c r="I42">
        <v>8</v>
      </c>
      <c r="J42" t="s">
        <v>13</v>
      </c>
      <c r="K42">
        <v>42.86</v>
      </c>
    </row>
    <row r="43" spans="1:11" x14ac:dyDescent="0.35">
      <c r="A43">
        <v>13119004</v>
      </c>
      <c r="B43" t="s">
        <v>16</v>
      </c>
      <c r="C43" t="str">
        <f>VLOOKUP(A43,codigos!A$2:B$43,2,FALSE)</f>
        <v>DIVINA PROVIDENCIA</v>
      </c>
      <c r="D43" t="s">
        <v>84</v>
      </c>
      <c r="E43" t="s">
        <v>17</v>
      </c>
      <c r="F43" t="s">
        <v>12</v>
      </c>
      <c r="G43">
        <v>14</v>
      </c>
      <c r="H43">
        <v>8</v>
      </c>
      <c r="I43">
        <v>6</v>
      </c>
      <c r="J43" t="s">
        <v>13</v>
      </c>
      <c r="K43">
        <v>57.14</v>
      </c>
    </row>
    <row r="44" spans="1:11" x14ac:dyDescent="0.35">
      <c r="A44">
        <v>13119004</v>
      </c>
      <c r="B44" t="s">
        <v>21</v>
      </c>
      <c r="C44" t="str">
        <f>VLOOKUP(A44,codigos!A$2:B$43,2,FALSE)</f>
        <v>DIVINA PROVIDENCIA</v>
      </c>
      <c r="D44" t="s">
        <v>84</v>
      </c>
      <c r="E44" t="s">
        <v>15</v>
      </c>
      <c r="F44" t="s">
        <v>12</v>
      </c>
      <c r="G44">
        <v>28</v>
      </c>
      <c r="H44">
        <v>23</v>
      </c>
      <c r="I44">
        <v>5</v>
      </c>
      <c r="J44" t="s">
        <v>13</v>
      </c>
      <c r="K44">
        <v>82.14</v>
      </c>
    </row>
    <row r="45" spans="1:11" x14ac:dyDescent="0.35">
      <c r="A45">
        <v>13119004</v>
      </c>
      <c r="B45" t="s">
        <v>20</v>
      </c>
      <c r="C45" t="str">
        <f>VLOOKUP(A45,codigos!A$2:B$43,2,FALSE)</f>
        <v>DIVINA PROVIDENCIA</v>
      </c>
      <c r="D45" t="s">
        <v>84</v>
      </c>
      <c r="E45" t="s">
        <v>35</v>
      </c>
      <c r="F45" t="s">
        <v>12</v>
      </c>
      <c r="G45">
        <v>32</v>
      </c>
      <c r="H45">
        <v>8</v>
      </c>
      <c r="I45">
        <v>24</v>
      </c>
      <c r="J45" t="s">
        <v>13</v>
      </c>
      <c r="K45">
        <v>25</v>
      </c>
    </row>
    <row r="46" spans="1:11" x14ac:dyDescent="0.35">
      <c r="A46">
        <v>13119004</v>
      </c>
      <c r="B46" t="s">
        <v>36</v>
      </c>
      <c r="C46" t="str">
        <f>VLOOKUP(A46,codigos!A$2:B$43,2,FALSE)</f>
        <v>DIVINA PROVIDENCIA</v>
      </c>
      <c r="D46" t="s">
        <v>84</v>
      </c>
      <c r="E46" t="s">
        <v>31</v>
      </c>
      <c r="F46" t="s">
        <v>12</v>
      </c>
      <c r="G46">
        <v>32</v>
      </c>
      <c r="H46">
        <v>18</v>
      </c>
      <c r="I46">
        <v>14</v>
      </c>
      <c r="J46" t="s">
        <v>13</v>
      </c>
      <c r="K46">
        <v>56.25</v>
      </c>
    </row>
    <row r="47" spans="1:11" x14ac:dyDescent="0.35">
      <c r="A47">
        <v>13119004</v>
      </c>
      <c r="B47" t="s">
        <v>19</v>
      </c>
      <c r="C47" t="str">
        <f>VLOOKUP(A47,codigos!A$2:B$43,2,FALSE)</f>
        <v>DIVINA PROVIDENCIA</v>
      </c>
      <c r="D47" t="s">
        <v>84</v>
      </c>
      <c r="E47" t="s">
        <v>11</v>
      </c>
      <c r="F47" t="s">
        <v>12</v>
      </c>
      <c r="G47">
        <v>32</v>
      </c>
      <c r="H47">
        <v>17</v>
      </c>
      <c r="I47">
        <v>15</v>
      </c>
      <c r="J47" t="s">
        <v>13</v>
      </c>
      <c r="K47">
        <v>53.12</v>
      </c>
    </row>
    <row r="48" spans="1:11" x14ac:dyDescent="0.35">
      <c r="A48">
        <v>13119004</v>
      </c>
      <c r="B48" t="s">
        <v>10</v>
      </c>
      <c r="C48" t="str">
        <f>VLOOKUP(A48,codigos!A$2:B$43,2,FALSE)</f>
        <v>DIVINA PROVIDENCIA</v>
      </c>
      <c r="D48" t="s">
        <v>84</v>
      </c>
      <c r="E48" t="s">
        <v>15</v>
      </c>
      <c r="F48" t="s">
        <v>12</v>
      </c>
      <c r="G48">
        <v>28</v>
      </c>
      <c r="H48">
        <v>22</v>
      </c>
      <c r="I48">
        <v>6</v>
      </c>
      <c r="J48" t="s">
        <v>13</v>
      </c>
      <c r="K48">
        <v>78.569999999999993</v>
      </c>
    </row>
    <row r="49" spans="1:11" x14ac:dyDescent="0.35">
      <c r="A49">
        <v>13119004</v>
      </c>
      <c r="B49" t="s">
        <v>37</v>
      </c>
      <c r="C49" t="str">
        <f>VLOOKUP(A49,codigos!A$2:B$43,2,FALSE)</f>
        <v>DIVINA PROVIDENCIA</v>
      </c>
      <c r="D49" t="s">
        <v>84</v>
      </c>
      <c r="E49" t="s">
        <v>11</v>
      </c>
      <c r="F49" t="s">
        <v>12</v>
      </c>
      <c r="G49">
        <v>32</v>
      </c>
      <c r="H49">
        <v>25</v>
      </c>
      <c r="I49">
        <v>7</v>
      </c>
      <c r="J49" t="s">
        <v>13</v>
      </c>
      <c r="K49">
        <v>78.12</v>
      </c>
    </row>
    <row r="50" spans="1:11" x14ac:dyDescent="0.35">
      <c r="A50">
        <v>13106021</v>
      </c>
      <c r="B50" t="s">
        <v>10</v>
      </c>
      <c r="C50" t="str">
        <f>VLOOKUP(A50,codigos!A$2:B$43,2,FALSE)</f>
        <v>DUENDES Y ESTRELLITAS.</v>
      </c>
      <c r="D50" t="s">
        <v>85</v>
      </c>
      <c r="E50" t="s">
        <v>15</v>
      </c>
      <c r="F50" t="s">
        <v>12</v>
      </c>
      <c r="G50">
        <v>32</v>
      </c>
      <c r="H50">
        <v>32</v>
      </c>
      <c r="I50">
        <v>0</v>
      </c>
      <c r="J50" t="s">
        <v>13</v>
      </c>
      <c r="K50">
        <v>100</v>
      </c>
    </row>
    <row r="51" spans="1:11" x14ac:dyDescent="0.35">
      <c r="A51">
        <v>13106021</v>
      </c>
      <c r="B51" t="s">
        <v>21</v>
      </c>
      <c r="C51" t="str">
        <f>VLOOKUP(A51,codigos!A$2:B$43,2,FALSE)</f>
        <v>DUENDES Y ESTRELLITAS.</v>
      </c>
      <c r="D51" t="s">
        <v>85</v>
      </c>
      <c r="E51" t="s">
        <v>11</v>
      </c>
      <c r="F51" t="s">
        <v>12</v>
      </c>
      <c r="G51">
        <v>32</v>
      </c>
      <c r="H51">
        <v>31</v>
      </c>
      <c r="I51">
        <v>1</v>
      </c>
      <c r="J51" t="s">
        <v>13</v>
      </c>
      <c r="K51">
        <v>96.88</v>
      </c>
    </row>
    <row r="52" spans="1:11" x14ac:dyDescent="0.35">
      <c r="A52">
        <v>13106021</v>
      </c>
      <c r="B52" t="s">
        <v>14</v>
      </c>
      <c r="C52" t="str">
        <f>VLOOKUP(A52,codigos!A$2:B$43,2,FALSE)</f>
        <v>DUENDES Y ESTRELLITAS.</v>
      </c>
      <c r="D52" t="s">
        <v>85</v>
      </c>
      <c r="E52" t="s">
        <v>17</v>
      </c>
      <c r="F52" t="s">
        <v>12</v>
      </c>
      <c r="G52">
        <v>20</v>
      </c>
      <c r="H52">
        <v>19</v>
      </c>
      <c r="I52">
        <v>1</v>
      </c>
      <c r="J52" t="s">
        <v>13</v>
      </c>
      <c r="K52">
        <v>95</v>
      </c>
    </row>
    <row r="53" spans="1:11" x14ac:dyDescent="0.35">
      <c r="A53">
        <v>13106021</v>
      </c>
      <c r="B53" t="s">
        <v>16</v>
      </c>
      <c r="C53" t="str">
        <f>VLOOKUP(A53,codigos!A$2:B$43,2,FALSE)</f>
        <v>DUENDES Y ESTRELLITAS.</v>
      </c>
      <c r="D53" t="s">
        <v>85</v>
      </c>
      <c r="E53" t="s">
        <v>26</v>
      </c>
      <c r="F53" t="s">
        <v>12</v>
      </c>
      <c r="G53">
        <v>20</v>
      </c>
      <c r="H53">
        <v>12</v>
      </c>
      <c r="I53">
        <v>8</v>
      </c>
      <c r="J53" t="s">
        <v>13</v>
      </c>
      <c r="K53">
        <v>60</v>
      </c>
    </row>
    <row r="54" spans="1:11" x14ac:dyDescent="0.35">
      <c r="A54">
        <v>13102009</v>
      </c>
      <c r="B54" t="s">
        <v>14</v>
      </c>
      <c r="C54" t="str">
        <f>VLOOKUP(A54,codigos!A$2:B$43,2,FALSE)</f>
        <v>EL MIRADOR</v>
      </c>
      <c r="D54" t="s">
        <v>86</v>
      </c>
      <c r="E54" t="s">
        <v>17</v>
      </c>
      <c r="F54" t="s">
        <v>12</v>
      </c>
      <c r="G54">
        <v>20</v>
      </c>
      <c r="H54">
        <v>20</v>
      </c>
      <c r="I54">
        <v>0</v>
      </c>
      <c r="J54" t="s">
        <v>13</v>
      </c>
      <c r="K54">
        <v>100</v>
      </c>
    </row>
    <row r="55" spans="1:11" x14ac:dyDescent="0.35">
      <c r="A55">
        <v>13102009</v>
      </c>
      <c r="B55" t="s">
        <v>16</v>
      </c>
      <c r="C55" t="str">
        <f>VLOOKUP(A55,codigos!A$2:B$43,2,FALSE)</f>
        <v>EL MIRADOR</v>
      </c>
      <c r="D55" t="s">
        <v>86</v>
      </c>
      <c r="E55" t="s">
        <v>26</v>
      </c>
      <c r="F55" t="s">
        <v>12</v>
      </c>
      <c r="G55">
        <v>20</v>
      </c>
      <c r="H55">
        <v>8</v>
      </c>
      <c r="I55">
        <v>12</v>
      </c>
      <c r="J55" t="s">
        <v>13</v>
      </c>
      <c r="K55">
        <v>40</v>
      </c>
    </row>
    <row r="56" spans="1:11" x14ac:dyDescent="0.35">
      <c r="A56">
        <v>13102009</v>
      </c>
      <c r="B56" t="s">
        <v>21</v>
      </c>
      <c r="C56" t="str">
        <f>VLOOKUP(A56,codigos!A$2:B$43,2,FALSE)</f>
        <v>EL MIRADOR</v>
      </c>
      <c r="D56" t="s">
        <v>86</v>
      </c>
      <c r="E56" t="s">
        <v>11</v>
      </c>
      <c r="F56" t="s">
        <v>12</v>
      </c>
      <c r="G56">
        <v>32</v>
      </c>
      <c r="H56">
        <v>28</v>
      </c>
      <c r="I56">
        <v>4</v>
      </c>
      <c r="J56" t="s">
        <v>13</v>
      </c>
      <c r="K56">
        <v>87.5</v>
      </c>
    </row>
    <row r="57" spans="1:11" x14ac:dyDescent="0.35">
      <c r="A57">
        <v>13102009</v>
      </c>
      <c r="B57" t="s">
        <v>10</v>
      </c>
      <c r="C57" t="str">
        <f>VLOOKUP(A57,codigos!A$2:B$43,2,FALSE)</f>
        <v>EL MIRADOR</v>
      </c>
      <c r="D57" t="s">
        <v>86</v>
      </c>
      <c r="E57" t="s">
        <v>15</v>
      </c>
      <c r="F57" t="s">
        <v>12</v>
      </c>
      <c r="G57">
        <v>32</v>
      </c>
      <c r="H57">
        <v>28</v>
      </c>
      <c r="I57">
        <v>4</v>
      </c>
      <c r="J57" t="s">
        <v>13</v>
      </c>
      <c r="K57">
        <v>87.5</v>
      </c>
    </row>
    <row r="58" spans="1:11" x14ac:dyDescent="0.35">
      <c r="A58">
        <v>13119043</v>
      </c>
      <c r="B58" t="s">
        <v>10</v>
      </c>
      <c r="C58" t="str">
        <f>VLOOKUP(A58,codigos!A$2:B$43,2,FALSE)</f>
        <v>EL TRANQUE</v>
      </c>
      <c r="D58" t="s">
        <v>87</v>
      </c>
      <c r="E58" t="s">
        <v>11</v>
      </c>
      <c r="F58" t="s">
        <v>12</v>
      </c>
      <c r="G58">
        <v>32</v>
      </c>
      <c r="H58">
        <v>29</v>
      </c>
      <c r="I58">
        <v>3</v>
      </c>
      <c r="J58" t="s">
        <v>13</v>
      </c>
      <c r="K58">
        <v>90.62</v>
      </c>
    </row>
    <row r="59" spans="1:11" x14ac:dyDescent="0.35">
      <c r="A59">
        <v>13119043</v>
      </c>
      <c r="B59" t="s">
        <v>14</v>
      </c>
      <c r="C59" t="str">
        <f>VLOOKUP(A59,codigos!A$2:B$43,2,FALSE)</f>
        <v>EL TRANQUE</v>
      </c>
      <c r="D59" t="s">
        <v>87</v>
      </c>
      <c r="E59" t="s">
        <v>15</v>
      </c>
      <c r="F59" t="s">
        <v>12</v>
      </c>
      <c r="G59">
        <v>28</v>
      </c>
      <c r="H59">
        <v>28</v>
      </c>
      <c r="I59">
        <v>0</v>
      </c>
      <c r="J59" t="s">
        <v>13</v>
      </c>
      <c r="K59">
        <v>100</v>
      </c>
    </row>
    <row r="60" spans="1:11" x14ac:dyDescent="0.35">
      <c r="A60">
        <v>13119043</v>
      </c>
      <c r="B60" t="s">
        <v>16</v>
      </c>
      <c r="C60" t="str">
        <f>VLOOKUP(A60,codigos!A$2:B$43,2,FALSE)</f>
        <v>EL TRANQUE</v>
      </c>
      <c r="D60" t="s">
        <v>87</v>
      </c>
      <c r="E60" t="s">
        <v>17</v>
      </c>
      <c r="F60" t="s">
        <v>12</v>
      </c>
      <c r="G60">
        <v>20</v>
      </c>
      <c r="H60">
        <v>18</v>
      </c>
      <c r="I60">
        <v>2</v>
      </c>
      <c r="J60" t="s">
        <v>13</v>
      </c>
      <c r="K60">
        <v>90</v>
      </c>
    </row>
    <row r="61" spans="1:11" x14ac:dyDescent="0.35">
      <c r="A61">
        <v>13119010</v>
      </c>
      <c r="B61" t="s">
        <v>14</v>
      </c>
      <c r="C61" t="str">
        <f>VLOOKUP(A61,codigos!A$2:B$43,2,FALSE)</f>
        <v>EMANUEL</v>
      </c>
      <c r="D61" t="s">
        <v>88</v>
      </c>
      <c r="E61" t="s">
        <v>17</v>
      </c>
      <c r="F61" t="s">
        <v>12</v>
      </c>
      <c r="G61">
        <v>20</v>
      </c>
      <c r="H61">
        <v>17</v>
      </c>
      <c r="I61">
        <v>3</v>
      </c>
      <c r="J61" t="s">
        <v>13</v>
      </c>
      <c r="K61">
        <v>85</v>
      </c>
    </row>
    <row r="62" spans="1:11" x14ac:dyDescent="0.35">
      <c r="A62">
        <v>13119010</v>
      </c>
      <c r="B62" t="s">
        <v>21</v>
      </c>
      <c r="C62" t="str">
        <f>VLOOKUP(A62,codigos!A$2:B$43,2,FALSE)</f>
        <v>EMANUEL</v>
      </c>
      <c r="D62" t="s">
        <v>88</v>
      </c>
      <c r="E62" t="s">
        <v>15</v>
      </c>
      <c r="F62" t="s">
        <v>12</v>
      </c>
      <c r="G62">
        <v>28</v>
      </c>
      <c r="H62">
        <v>16</v>
      </c>
      <c r="I62">
        <v>12</v>
      </c>
      <c r="J62" t="s">
        <v>13</v>
      </c>
      <c r="K62">
        <v>57.14</v>
      </c>
    </row>
    <row r="63" spans="1:11" x14ac:dyDescent="0.35">
      <c r="A63">
        <v>13119010</v>
      </c>
      <c r="B63" t="s">
        <v>16</v>
      </c>
      <c r="C63" t="str">
        <f>VLOOKUP(A63,codigos!A$2:B$43,2,FALSE)</f>
        <v>EMANUEL</v>
      </c>
      <c r="D63" t="s">
        <v>88</v>
      </c>
      <c r="E63" t="s">
        <v>22</v>
      </c>
      <c r="F63" t="s">
        <v>12</v>
      </c>
      <c r="G63">
        <v>20</v>
      </c>
      <c r="H63">
        <v>14</v>
      </c>
      <c r="I63">
        <v>6</v>
      </c>
      <c r="J63" t="s">
        <v>13</v>
      </c>
      <c r="K63">
        <v>70</v>
      </c>
    </row>
    <row r="64" spans="1:11" x14ac:dyDescent="0.35">
      <c r="A64">
        <v>13119010</v>
      </c>
      <c r="B64" t="s">
        <v>10</v>
      </c>
      <c r="C64" t="str">
        <f>VLOOKUP(A64,codigos!A$2:B$43,2,FALSE)</f>
        <v>EMANUEL</v>
      </c>
      <c r="D64" t="s">
        <v>88</v>
      </c>
      <c r="E64" t="s">
        <v>15</v>
      </c>
      <c r="F64" t="s">
        <v>12</v>
      </c>
      <c r="G64">
        <v>28</v>
      </c>
      <c r="H64">
        <v>20</v>
      </c>
      <c r="I64">
        <v>8</v>
      </c>
      <c r="J64" t="s">
        <v>13</v>
      </c>
      <c r="K64">
        <v>71.430000000000007</v>
      </c>
    </row>
    <row r="65" spans="1:11" x14ac:dyDescent="0.35">
      <c r="A65">
        <v>13119010</v>
      </c>
      <c r="B65" t="s">
        <v>42</v>
      </c>
      <c r="C65" t="str">
        <f>VLOOKUP(A65,codigos!A$2:B$43,2,FALSE)</f>
        <v>EMANUEL</v>
      </c>
      <c r="D65" t="s">
        <v>88</v>
      </c>
      <c r="E65" t="s">
        <v>31</v>
      </c>
      <c r="F65" t="s">
        <v>12</v>
      </c>
      <c r="G65">
        <v>32</v>
      </c>
      <c r="H65">
        <v>19</v>
      </c>
      <c r="I65">
        <v>13</v>
      </c>
      <c r="J65" t="s">
        <v>13</v>
      </c>
      <c r="K65">
        <v>59.38</v>
      </c>
    </row>
    <row r="66" spans="1:11" x14ac:dyDescent="0.35">
      <c r="A66">
        <v>13119010</v>
      </c>
      <c r="B66" t="s">
        <v>36</v>
      </c>
      <c r="C66" t="str">
        <f>VLOOKUP(A66,codigos!A$2:B$43,2,FALSE)</f>
        <v>EMANUEL</v>
      </c>
      <c r="D66" t="s">
        <v>88</v>
      </c>
      <c r="E66" t="s">
        <v>11</v>
      </c>
      <c r="F66" t="s">
        <v>12</v>
      </c>
      <c r="G66">
        <v>32</v>
      </c>
      <c r="H66">
        <v>27</v>
      </c>
      <c r="I66">
        <v>5</v>
      </c>
      <c r="J66" t="s">
        <v>13</v>
      </c>
      <c r="K66">
        <v>84.38</v>
      </c>
    </row>
    <row r="67" spans="1:11" x14ac:dyDescent="0.35">
      <c r="A67">
        <v>13119010</v>
      </c>
      <c r="B67" t="s">
        <v>19</v>
      </c>
      <c r="C67" t="str">
        <f>VLOOKUP(A67,codigos!A$2:B$43,2,FALSE)</f>
        <v>EMANUEL</v>
      </c>
      <c r="D67" t="s">
        <v>88</v>
      </c>
      <c r="E67" t="s">
        <v>15</v>
      </c>
      <c r="F67" t="s">
        <v>12</v>
      </c>
      <c r="G67">
        <v>28</v>
      </c>
      <c r="H67">
        <v>19</v>
      </c>
      <c r="I67">
        <v>9</v>
      </c>
      <c r="J67" t="s">
        <v>13</v>
      </c>
      <c r="K67">
        <v>67.86</v>
      </c>
    </row>
    <row r="68" spans="1:11" x14ac:dyDescent="0.35">
      <c r="A68">
        <v>13119010</v>
      </c>
      <c r="B68" t="s">
        <v>37</v>
      </c>
      <c r="C68" t="str">
        <f>VLOOKUP(A68,codigos!A$2:B$43,2,FALSE)</f>
        <v>EMANUEL</v>
      </c>
      <c r="D68" t="s">
        <v>88</v>
      </c>
      <c r="E68" t="s">
        <v>11</v>
      </c>
      <c r="F68" t="s">
        <v>12</v>
      </c>
      <c r="G68">
        <v>32</v>
      </c>
      <c r="H68">
        <v>28</v>
      </c>
      <c r="I68">
        <v>4</v>
      </c>
      <c r="J68" t="s">
        <v>13</v>
      </c>
      <c r="K68">
        <v>87.5</v>
      </c>
    </row>
    <row r="69" spans="1:11" x14ac:dyDescent="0.35">
      <c r="A69">
        <v>13119010</v>
      </c>
      <c r="B69" t="s">
        <v>43</v>
      </c>
      <c r="C69" t="str">
        <f>VLOOKUP(A69,codigos!A$2:B$43,2,FALSE)</f>
        <v>EMANUEL</v>
      </c>
      <c r="D69" t="s">
        <v>88</v>
      </c>
      <c r="E69" t="s">
        <v>44</v>
      </c>
      <c r="F69" t="s">
        <v>12</v>
      </c>
      <c r="G69">
        <v>32</v>
      </c>
      <c r="H69">
        <v>22</v>
      </c>
      <c r="I69">
        <v>10</v>
      </c>
      <c r="J69" t="s">
        <v>13</v>
      </c>
      <c r="K69">
        <v>68.75</v>
      </c>
    </row>
    <row r="70" spans="1:11" x14ac:dyDescent="0.35">
      <c r="A70">
        <v>13119010</v>
      </c>
      <c r="B70" t="s">
        <v>20</v>
      </c>
      <c r="C70" t="str">
        <f>VLOOKUP(A70,codigos!A$2:B$43,2,FALSE)</f>
        <v>EMANUEL</v>
      </c>
      <c r="D70" t="s">
        <v>88</v>
      </c>
      <c r="E70" t="s">
        <v>11</v>
      </c>
      <c r="F70" t="s">
        <v>12</v>
      </c>
      <c r="G70">
        <v>32</v>
      </c>
      <c r="H70">
        <v>31</v>
      </c>
      <c r="I70">
        <v>1</v>
      </c>
      <c r="J70" t="s">
        <v>13</v>
      </c>
      <c r="K70">
        <v>96.88</v>
      </c>
    </row>
    <row r="71" spans="1:11" x14ac:dyDescent="0.35">
      <c r="A71">
        <v>13119010</v>
      </c>
      <c r="B71" t="s">
        <v>45</v>
      </c>
      <c r="C71" t="str">
        <f>VLOOKUP(A71,codigos!A$2:B$43,2,FALSE)</f>
        <v>EMANUEL</v>
      </c>
      <c r="D71" t="s">
        <v>88</v>
      </c>
      <c r="E71" t="s">
        <v>35</v>
      </c>
      <c r="F71" t="s">
        <v>12</v>
      </c>
      <c r="G71">
        <v>32</v>
      </c>
      <c r="H71">
        <v>23</v>
      </c>
      <c r="I71">
        <v>9</v>
      </c>
      <c r="J71" t="s">
        <v>13</v>
      </c>
      <c r="K71">
        <v>71.88</v>
      </c>
    </row>
    <row r="72" spans="1:11" x14ac:dyDescent="0.35">
      <c r="A72">
        <v>13119042</v>
      </c>
      <c r="B72" t="s">
        <v>10</v>
      </c>
      <c r="C72" t="str">
        <f>VLOOKUP(A72,codigos!A$2:B$43,2,FALSE)</f>
        <v>ESDRAS</v>
      </c>
      <c r="D72" t="s">
        <v>89</v>
      </c>
      <c r="E72" t="s">
        <v>11</v>
      </c>
      <c r="F72" t="s">
        <v>12</v>
      </c>
      <c r="G72">
        <v>32</v>
      </c>
      <c r="H72">
        <v>27</v>
      </c>
      <c r="I72">
        <v>5</v>
      </c>
      <c r="J72" t="s">
        <v>13</v>
      </c>
      <c r="K72">
        <v>84.38</v>
      </c>
    </row>
    <row r="73" spans="1:11" x14ac:dyDescent="0.35">
      <c r="A73">
        <v>13119042</v>
      </c>
      <c r="B73" t="s">
        <v>14</v>
      </c>
      <c r="C73" t="str">
        <f>VLOOKUP(A73,codigos!A$2:B$43,2,FALSE)</f>
        <v>ESDRAS</v>
      </c>
      <c r="D73" t="s">
        <v>89</v>
      </c>
      <c r="E73" t="s">
        <v>15</v>
      </c>
      <c r="F73" t="s">
        <v>12</v>
      </c>
      <c r="G73">
        <v>28</v>
      </c>
      <c r="H73">
        <v>28</v>
      </c>
      <c r="I73">
        <v>0</v>
      </c>
      <c r="J73" t="s">
        <v>13</v>
      </c>
      <c r="K73">
        <v>100</v>
      </c>
    </row>
    <row r="74" spans="1:11" x14ac:dyDescent="0.35">
      <c r="A74">
        <v>13119042</v>
      </c>
      <c r="B74" t="s">
        <v>16</v>
      </c>
      <c r="C74" t="str">
        <f>VLOOKUP(A74,codigos!A$2:B$43,2,FALSE)</f>
        <v>ESDRAS</v>
      </c>
      <c r="D74" t="s">
        <v>89</v>
      </c>
      <c r="E74" t="s">
        <v>17</v>
      </c>
      <c r="F74" t="s">
        <v>12</v>
      </c>
      <c r="G74">
        <v>20</v>
      </c>
      <c r="H74">
        <v>17</v>
      </c>
      <c r="I74">
        <v>3</v>
      </c>
      <c r="J74" t="s">
        <v>13</v>
      </c>
      <c r="K74">
        <v>85</v>
      </c>
    </row>
    <row r="75" spans="1:11" x14ac:dyDescent="0.35">
      <c r="A75">
        <v>13106026</v>
      </c>
      <c r="B75" t="s">
        <v>16</v>
      </c>
      <c r="C75" t="str">
        <f>VLOOKUP(A75,codigos!A$2:B$43,2,FALSE)</f>
        <v>ESTACIÓN ALEGRÍA</v>
      </c>
      <c r="D75" t="s">
        <v>90</v>
      </c>
      <c r="E75" t="s">
        <v>26</v>
      </c>
      <c r="F75" t="s">
        <v>12</v>
      </c>
      <c r="G75">
        <v>20</v>
      </c>
      <c r="H75">
        <v>8</v>
      </c>
      <c r="I75">
        <v>12</v>
      </c>
      <c r="J75" t="s">
        <v>13</v>
      </c>
      <c r="K75">
        <v>40</v>
      </c>
    </row>
    <row r="76" spans="1:11" x14ac:dyDescent="0.35">
      <c r="A76">
        <v>13106026</v>
      </c>
      <c r="B76" t="s">
        <v>14</v>
      </c>
      <c r="C76" t="str">
        <f>VLOOKUP(A76,codigos!A$2:B$43,2,FALSE)</f>
        <v>ESTACIÓN ALEGRÍA</v>
      </c>
      <c r="D76" t="s">
        <v>90</v>
      </c>
      <c r="E76" t="s">
        <v>17</v>
      </c>
      <c r="F76" t="s">
        <v>12</v>
      </c>
      <c r="G76">
        <v>20</v>
      </c>
      <c r="H76">
        <v>20</v>
      </c>
      <c r="I76">
        <v>0</v>
      </c>
      <c r="J76" t="s">
        <v>13</v>
      </c>
      <c r="K76">
        <v>100</v>
      </c>
    </row>
    <row r="77" spans="1:11" x14ac:dyDescent="0.35">
      <c r="A77">
        <v>13106026</v>
      </c>
      <c r="B77" t="s">
        <v>21</v>
      </c>
      <c r="C77" t="str">
        <f>VLOOKUP(A77,codigos!A$2:B$43,2,FALSE)</f>
        <v>ESTACIÓN ALEGRÍA</v>
      </c>
      <c r="D77" t="s">
        <v>90</v>
      </c>
      <c r="E77" t="s">
        <v>11</v>
      </c>
      <c r="F77" t="s">
        <v>12</v>
      </c>
      <c r="G77">
        <v>32</v>
      </c>
      <c r="H77">
        <v>32</v>
      </c>
      <c r="I77">
        <v>0</v>
      </c>
      <c r="J77" t="s">
        <v>13</v>
      </c>
      <c r="K77">
        <v>100</v>
      </c>
    </row>
    <row r="78" spans="1:11" x14ac:dyDescent="0.35">
      <c r="A78">
        <v>13106026</v>
      </c>
      <c r="B78" t="s">
        <v>10</v>
      </c>
      <c r="C78" t="str">
        <f>VLOOKUP(A78,codigos!A$2:B$43,2,FALSE)</f>
        <v>ESTACIÓN ALEGRÍA</v>
      </c>
      <c r="D78" t="s">
        <v>90</v>
      </c>
      <c r="E78" t="s">
        <v>15</v>
      </c>
      <c r="F78" t="s">
        <v>12</v>
      </c>
      <c r="G78">
        <v>32</v>
      </c>
      <c r="H78">
        <v>32</v>
      </c>
      <c r="I78">
        <v>0</v>
      </c>
      <c r="J78" t="s">
        <v>13</v>
      </c>
      <c r="K78">
        <v>100</v>
      </c>
    </row>
    <row r="79" spans="1:11" x14ac:dyDescent="0.35">
      <c r="A79">
        <v>13106023</v>
      </c>
      <c r="B79" t="s">
        <v>16</v>
      </c>
      <c r="C79" t="str">
        <f>VLOOKUP(A79,codigos!A$2:B$43,2,FALSE)</f>
        <v>KIMELÜ</v>
      </c>
      <c r="D79" t="s">
        <v>91</v>
      </c>
      <c r="E79" t="s">
        <v>17</v>
      </c>
      <c r="F79" t="s">
        <v>12</v>
      </c>
      <c r="G79">
        <v>20</v>
      </c>
      <c r="H79">
        <v>17</v>
      </c>
      <c r="I79">
        <v>3</v>
      </c>
      <c r="J79" t="s">
        <v>13</v>
      </c>
      <c r="K79">
        <v>85</v>
      </c>
    </row>
    <row r="80" spans="1:11" x14ac:dyDescent="0.35">
      <c r="A80">
        <v>13106023</v>
      </c>
      <c r="B80" t="s">
        <v>14</v>
      </c>
      <c r="C80" t="str">
        <f>VLOOKUP(A80,codigos!A$2:B$43,2,FALSE)</f>
        <v>KIMELÜ</v>
      </c>
      <c r="D80" t="s">
        <v>91</v>
      </c>
      <c r="E80" t="s">
        <v>15</v>
      </c>
      <c r="F80" t="s">
        <v>12</v>
      </c>
      <c r="G80">
        <v>32</v>
      </c>
      <c r="H80">
        <v>31</v>
      </c>
      <c r="I80">
        <v>1</v>
      </c>
      <c r="J80" t="s">
        <v>13</v>
      </c>
      <c r="K80">
        <v>96.88</v>
      </c>
    </row>
    <row r="81" spans="1:11" x14ac:dyDescent="0.35">
      <c r="A81">
        <v>13106023</v>
      </c>
      <c r="B81" t="s">
        <v>10</v>
      </c>
      <c r="C81" t="str">
        <f>VLOOKUP(A81,codigos!A$2:B$43,2,FALSE)</f>
        <v>KIMELÜ</v>
      </c>
      <c r="D81" t="s">
        <v>91</v>
      </c>
      <c r="E81" t="s">
        <v>11</v>
      </c>
      <c r="F81" t="s">
        <v>12</v>
      </c>
      <c r="G81">
        <v>32</v>
      </c>
      <c r="H81">
        <v>32</v>
      </c>
      <c r="I81">
        <v>0</v>
      </c>
      <c r="J81" t="s">
        <v>13</v>
      </c>
      <c r="K81">
        <v>100</v>
      </c>
    </row>
    <row r="82" spans="1:11" x14ac:dyDescent="0.35">
      <c r="A82">
        <v>13119025</v>
      </c>
      <c r="B82" t="s">
        <v>14</v>
      </c>
      <c r="C82" t="str">
        <f>VLOOKUP(A82,codigos!A$2:B$43,2,FALSE)</f>
        <v>KIM RUKA</v>
      </c>
      <c r="D82" t="s">
        <v>92</v>
      </c>
      <c r="E82" t="s">
        <v>17</v>
      </c>
      <c r="F82" t="s">
        <v>12</v>
      </c>
      <c r="G82">
        <v>20</v>
      </c>
      <c r="H82">
        <v>19</v>
      </c>
      <c r="I82">
        <v>1</v>
      </c>
      <c r="J82" t="s">
        <v>13</v>
      </c>
      <c r="K82">
        <v>95</v>
      </c>
    </row>
    <row r="83" spans="1:11" x14ac:dyDescent="0.35">
      <c r="A83">
        <v>13119025</v>
      </c>
      <c r="B83" t="s">
        <v>16</v>
      </c>
      <c r="C83" t="str">
        <f>VLOOKUP(A83,codigos!A$2:B$43,2,FALSE)</f>
        <v>KIM RUKA</v>
      </c>
      <c r="D83" t="s">
        <v>92</v>
      </c>
      <c r="E83" t="s">
        <v>26</v>
      </c>
      <c r="F83" t="s">
        <v>12</v>
      </c>
      <c r="G83">
        <v>20</v>
      </c>
      <c r="H83">
        <v>5</v>
      </c>
      <c r="I83">
        <v>15</v>
      </c>
      <c r="J83" t="s">
        <v>13</v>
      </c>
      <c r="K83">
        <v>25</v>
      </c>
    </row>
    <row r="84" spans="1:11" x14ac:dyDescent="0.35">
      <c r="A84">
        <v>13119025</v>
      </c>
      <c r="B84" t="s">
        <v>19</v>
      </c>
      <c r="C84" t="str">
        <f>VLOOKUP(A84,codigos!A$2:B$43,2,FALSE)</f>
        <v>KIM RUKA</v>
      </c>
      <c r="D84" t="s">
        <v>92</v>
      </c>
      <c r="E84" t="s">
        <v>17</v>
      </c>
      <c r="F84" t="s">
        <v>12</v>
      </c>
      <c r="G84">
        <v>14</v>
      </c>
      <c r="H84">
        <v>6</v>
      </c>
      <c r="I84">
        <v>8</v>
      </c>
      <c r="J84" t="s">
        <v>13</v>
      </c>
      <c r="K84">
        <v>42.86</v>
      </c>
    </row>
    <row r="85" spans="1:11" x14ac:dyDescent="0.35">
      <c r="A85">
        <v>13119025</v>
      </c>
      <c r="B85" t="s">
        <v>21</v>
      </c>
      <c r="C85" t="str">
        <f>VLOOKUP(A85,codigos!A$2:B$43,2,FALSE)</f>
        <v>KIM RUKA</v>
      </c>
      <c r="D85" t="s">
        <v>92</v>
      </c>
      <c r="E85" t="s">
        <v>11</v>
      </c>
      <c r="F85" t="s">
        <v>12</v>
      </c>
      <c r="G85">
        <v>32</v>
      </c>
      <c r="H85">
        <v>29</v>
      </c>
      <c r="I85">
        <v>3</v>
      </c>
      <c r="J85" t="s">
        <v>13</v>
      </c>
      <c r="K85">
        <v>90.62</v>
      </c>
    </row>
    <row r="86" spans="1:11" x14ac:dyDescent="0.35">
      <c r="A86">
        <v>13119025</v>
      </c>
      <c r="B86" t="s">
        <v>10</v>
      </c>
      <c r="C86" t="str">
        <f>VLOOKUP(A86,codigos!A$2:B$43,2,FALSE)</f>
        <v>KIM RUKA</v>
      </c>
      <c r="D86" t="s">
        <v>92</v>
      </c>
      <c r="E86" t="s">
        <v>15</v>
      </c>
      <c r="F86" t="s">
        <v>12</v>
      </c>
      <c r="G86">
        <v>28</v>
      </c>
      <c r="H86">
        <v>27</v>
      </c>
      <c r="I86">
        <v>1</v>
      </c>
      <c r="J86" t="s">
        <v>13</v>
      </c>
      <c r="K86">
        <v>96.43</v>
      </c>
    </row>
    <row r="87" spans="1:11" x14ac:dyDescent="0.35">
      <c r="A87">
        <v>13119026</v>
      </c>
      <c r="B87" t="s">
        <v>10</v>
      </c>
      <c r="C87" t="str">
        <f>VLOOKUP(A87,codigos!A$2:B$43,2,FALSE)</f>
        <v>LAS ABEJITAS</v>
      </c>
      <c r="D87" t="s">
        <v>93</v>
      </c>
      <c r="E87" t="s">
        <v>11</v>
      </c>
      <c r="F87" t="s">
        <v>12</v>
      </c>
      <c r="G87">
        <v>32</v>
      </c>
      <c r="H87">
        <v>27</v>
      </c>
      <c r="I87">
        <v>5</v>
      </c>
      <c r="J87" t="s">
        <v>13</v>
      </c>
      <c r="K87">
        <v>84.38</v>
      </c>
    </row>
    <row r="88" spans="1:11" x14ac:dyDescent="0.35">
      <c r="A88">
        <v>13119026</v>
      </c>
      <c r="B88" t="s">
        <v>14</v>
      </c>
      <c r="C88" t="str">
        <f>VLOOKUP(A88,codigos!A$2:B$43,2,FALSE)</f>
        <v>LAS ABEJITAS</v>
      </c>
      <c r="D88" t="s">
        <v>93</v>
      </c>
      <c r="E88" t="s">
        <v>15</v>
      </c>
      <c r="F88" t="s">
        <v>12</v>
      </c>
      <c r="G88">
        <v>28</v>
      </c>
      <c r="H88">
        <v>20</v>
      </c>
      <c r="I88">
        <v>8</v>
      </c>
      <c r="J88" t="s">
        <v>13</v>
      </c>
      <c r="K88">
        <v>71.430000000000007</v>
      </c>
    </row>
    <row r="89" spans="1:11" x14ac:dyDescent="0.35">
      <c r="A89">
        <v>13119026</v>
      </c>
      <c r="B89" t="s">
        <v>16</v>
      </c>
      <c r="C89" t="str">
        <f>VLOOKUP(A89,codigos!A$2:B$43,2,FALSE)</f>
        <v>LAS ABEJITAS</v>
      </c>
      <c r="D89" t="s">
        <v>93</v>
      </c>
      <c r="E89" t="s">
        <v>17</v>
      </c>
      <c r="F89" t="s">
        <v>12</v>
      </c>
      <c r="G89">
        <v>20</v>
      </c>
      <c r="H89">
        <v>18</v>
      </c>
      <c r="I89">
        <v>2</v>
      </c>
      <c r="J89" t="s">
        <v>13</v>
      </c>
      <c r="K89">
        <v>90</v>
      </c>
    </row>
    <row r="90" spans="1:11" x14ac:dyDescent="0.35">
      <c r="A90">
        <v>13106019</v>
      </c>
      <c r="B90" t="s">
        <v>16</v>
      </c>
      <c r="C90" t="str">
        <f>VLOOKUP(A90,codigos!A$2:B$43,2,FALSE)</f>
        <v>LAS LUCIÉRNAGAS</v>
      </c>
      <c r="D90" t="s">
        <v>94</v>
      </c>
      <c r="E90" t="s">
        <v>26</v>
      </c>
      <c r="F90" t="s">
        <v>12</v>
      </c>
      <c r="G90">
        <v>14</v>
      </c>
      <c r="H90">
        <v>11</v>
      </c>
      <c r="I90">
        <v>3</v>
      </c>
      <c r="J90" t="s">
        <v>13</v>
      </c>
      <c r="K90">
        <v>78.569999999999993</v>
      </c>
    </row>
    <row r="91" spans="1:11" x14ac:dyDescent="0.35">
      <c r="A91">
        <v>13106019</v>
      </c>
      <c r="B91" t="s">
        <v>14</v>
      </c>
      <c r="C91" t="str">
        <f>VLOOKUP(A91,codigos!A$2:B$43,2,FALSE)</f>
        <v>LAS LUCIÉRNAGAS</v>
      </c>
      <c r="D91" t="s">
        <v>94</v>
      </c>
      <c r="E91" t="s">
        <v>17</v>
      </c>
      <c r="F91" t="s">
        <v>12</v>
      </c>
      <c r="G91">
        <v>20</v>
      </c>
      <c r="H91">
        <v>20</v>
      </c>
      <c r="I91">
        <v>0</v>
      </c>
      <c r="J91" t="s">
        <v>13</v>
      </c>
      <c r="K91">
        <v>100</v>
      </c>
    </row>
    <row r="92" spans="1:11" x14ac:dyDescent="0.35">
      <c r="A92">
        <v>13106018</v>
      </c>
      <c r="B92" t="s">
        <v>16</v>
      </c>
      <c r="C92" t="str">
        <f>VLOOKUP(A92,codigos!A$2:B$43,2,FALSE)</f>
        <v>LOS ANGELITOS DE VILLA FRANCIA</v>
      </c>
      <c r="D92" t="s">
        <v>95</v>
      </c>
      <c r="E92" t="s">
        <v>26</v>
      </c>
      <c r="F92" t="s">
        <v>12</v>
      </c>
      <c r="G92">
        <v>20</v>
      </c>
      <c r="H92">
        <v>6</v>
      </c>
      <c r="I92">
        <v>14</v>
      </c>
      <c r="J92" t="s">
        <v>13</v>
      </c>
      <c r="K92">
        <v>30</v>
      </c>
    </row>
    <row r="93" spans="1:11" x14ac:dyDescent="0.35">
      <c r="A93">
        <v>13106018</v>
      </c>
      <c r="B93" t="s">
        <v>14</v>
      </c>
      <c r="C93" t="str">
        <f>VLOOKUP(A93,codigos!A$2:B$43,2,FALSE)</f>
        <v>LOS ANGELITOS DE VILLA FRANCIA</v>
      </c>
      <c r="D93" t="s">
        <v>95</v>
      </c>
      <c r="E93" t="s">
        <v>17</v>
      </c>
      <c r="F93" t="s">
        <v>12</v>
      </c>
      <c r="G93">
        <v>20</v>
      </c>
      <c r="H93">
        <v>20</v>
      </c>
      <c r="I93">
        <v>0</v>
      </c>
      <c r="J93" t="s">
        <v>13</v>
      </c>
      <c r="K93">
        <v>100</v>
      </c>
    </row>
    <row r="94" spans="1:11" x14ac:dyDescent="0.35">
      <c r="A94">
        <v>13106018</v>
      </c>
      <c r="B94" t="s">
        <v>10</v>
      </c>
      <c r="C94" t="str">
        <f>VLOOKUP(A94,codigos!A$2:B$43,2,FALSE)</f>
        <v>LOS ANGELITOS DE VILLA FRANCIA</v>
      </c>
      <c r="D94" t="s">
        <v>95</v>
      </c>
      <c r="E94" t="s">
        <v>15</v>
      </c>
      <c r="F94" t="s">
        <v>12</v>
      </c>
      <c r="G94">
        <v>32</v>
      </c>
      <c r="H94">
        <v>29</v>
      </c>
      <c r="I94">
        <v>3</v>
      </c>
      <c r="J94" t="s">
        <v>13</v>
      </c>
      <c r="K94">
        <v>90.62</v>
      </c>
    </row>
    <row r="95" spans="1:11" x14ac:dyDescent="0.35">
      <c r="A95">
        <v>13106018</v>
      </c>
      <c r="B95" t="s">
        <v>21</v>
      </c>
      <c r="C95" t="str">
        <f>VLOOKUP(A95,codigos!A$2:B$43,2,FALSE)</f>
        <v>LOS ANGELITOS DE VILLA FRANCIA</v>
      </c>
      <c r="D95" t="s">
        <v>95</v>
      </c>
      <c r="E95" t="s">
        <v>11</v>
      </c>
      <c r="F95" t="s">
        <v>12</v>
      </c>
      <c r="G95">
        <v>32</v>
      </c>
      <c r="H95">
        <v>32</v>
      </c>
      <c r="I95">
        <v>0</v>
      </c>
      <c r="J95" t="s">
        <v>13</v>
      </c>
      <c r="K95">
        <v>100</v>
      </c>
    </row>
    <row r="96" spans="1:11" x14ac:dyDescent="0.35">
      <c r="A96">
        <v>13119033</v>
      </c>
      <c r="B96" t="s">
        <v>14</v>
      </c>
      <c r="C96" t="str">
        <f>VLOOKUP(A96,codigos!A$2:B$43,2,FALSE)</f>
        <v>LOS SOLCITOS</v>
      </c>
      <c r="D96" t="s">
        <v>96</v>
      </c>
      <c r="E96" t="s">
        <v>17</v>
      </c>
      <c r="F96" t="s">
        <v>12</v>
      </c>
      <c r="G96">
        <v>20</v>
      </c>
      <c r="H96">
        <v>19</v>
      </c>
      <c r="I96">
        <v>1</v>
      </c>
      <c r="J96" t="s">
        <v>13</v>
      </c>
      <c r="K96">
        <v>95</v>
      </c>
    </row>
    <row r="97" spans="1:11" x14ac:dyDescent="0.35">
      <c r="A97">
        <v>13119033</v>
      </c>
      <c r="B97" t="s">
        <v>10</v>
      </c>
      <c r="C97" t="str">
        <f>VLOOKUP(A97,codigos!A$2:B$43,2,FALSE)</f>
        <v>LOS SOLCITOS</v>
      </c>
      <c r="D97" t="s">
        <v>96</v>
      </c>
      <c r="E97" t="s">
        <v>15</v>
      </c>
      <c r="F97" t="s">
        <v>12</v>
      </c>
      <c r="G97">
        <v>28</v>
      </c>
      <c r="H97">
        <v>25</v>
      </c>
      <c r="I97">
        <v>3</v>
      </c>
      <c r="J97" t="s">
        <v>13</v>
      </c>
      <c r="K97">
        <v>89.29</v>
      </c>
    </row>
    <row r="98" spans="1:11" x14ac:dyDescent="0.35">
      <c r="A98">
        <v>13119033</v>
      </c>
      <c r="B98" t="s">
        <v>21</v>
      </c>
      <c r="C98" t="str">
        <f>VLOOKUP(A98,codigos!A$2:B$43,2,FALSE)</f>
        <v>LOS SOLCITOS</v>
      </c>
      <c r="D98" t="s">
        <v>96</v>
      </c>
      <c r="E98" t="s">
        <v>11</v>
      </c>
      <c r="F98" t="s">
        <v>12</v>
      </c>
      <c r="G98">
        <v>32</v>
      </c>
      <c r="H98">
        <v>25</v>
      </c>
      <c r="I98">
        <v>7</v>
      </c>
      <c r="J98" t="s">
        <v>13</v>
      </c>
      <c r="K98">
        <v>78.12</v>
      </c>
    </row>
    <row r="99" spans="1:11" x14ac:dyDescent="0.35">
      <c r="A99">
        <v>13119033</v>
      </c>
      <c r="B99" t="s">
        <v>16</v>
      </c>
      <c r="C99" t="str">
        <f>VLOOKUP(A99,codigos!A$2:B$43,2,FALSE)</f>
        <v>LOS SOLCITOS</v>
      </c>
      <c r="D99" t="s">
        <v>96</v>
      </c>
      <c r="E99" t="s">
        <v>26</v>
      </c>
      <c r="F99" t="s">
        <v>12</v>
      </c>
      <c r="G99">
        <v>20</v>
      </c>
      <c r="H99">
        <v>7</v>
      </c>
      <c r="I99">
        <v>13</v>
      </c>
      <c r="J99" t="s">
        <v>13</v>
      </c>
      <c r="K99">
        <v>35</v>
      </c>
    </row>
    <row r="100" spans="1:11" x14ac:dyDescent="0.35">
      <c r="A100">
        <v>13106024</v>
      </c>
      <c r="B100" t="s">
        <v>21</v>
      </c>
      <c r="C100" t="str">
        <f>VLOOKUP(A100,codigos!A$2:B$43,2,FALSE)</f>
        <v>MIS PRIMERAS HUELLAS</v>
      </c>
      <c r="D100" t="s">
        <v>97</v>
      </c>
      <c r="E100" t="s">
        <v>11</v>
      </c>
      <c r="F100" t="s">
        <v>12</v>
      </c>
      <c r="G100">
        <v>32</v>
      </c>
      <c r="H100">
        <v>31</v>
      </c>
      <c r="I100">
        <v>1</v>
      </c>
      <c r="J100" t="s">
        <v>13</v>
      </c>
      <c r="K100">
        <v>96.88</v>
      </c>
    </row>
    <row r="101" spans="1:11" x14ac:dyDescent="0.35">
      <c r="A101">
        <v>13106024</v>
      </c>
      <c r="B101" t="s">
        <v>16</v>
      </c>
      <c r="C101" t="str">
        <f>VLOOKUP(A101,codigos!A$2:B$43,2,FALSE)</f>
        <v>MIS PRIMERAS HUELLAS</v>
      </c>
      <c r="D101" t="s">
        <v>97</v>
      </c>
      <c r="E101" t="s">
        <v>26</v>
      </c>
      <c r="F101" t="s">
        <v>12</v>
      </c>
      <c r="G101">
        <v>20</v>
      </c>
      <c r="H101">
        <v>18</v>
      </c>
      <c r="I101">
        <v>2</v>
      </c>
      <c r="J101" t="s">
        <v>13</v>
      </c>
      <c r="K101">
        <v>90</v>
      </c>
    </row>
    <row r="102" spans="1:11" x14ac:dyDescent="0.35">
      <c r="A102">
        <v>13106024</v>
      </c>
      <c r="B102" t="s">
        <v>14</v>
      </c>
      <c r="C102" t="str">
        <f>VLOOKUP(A102,codigos!A$2:B$43,2,FALSE)</f>
        <v>MIS PRIMERAS HUELLAS</v>
      </c>
      <c r="D102" t="s">
        <v>97</v>
      </c>
      <c r="E102" t="s">
        <v>17</v>
      </c>
      <c r="F102" t="s">
        <v>12</v>
      </c>
      <c r="G102">
        <v>20</v>
      </c>
      <c r="H102">
        <v>20</v>
      </c>
      <c r="I102">
        <v>0</v>
      </c>
      <c r="J102" t="s">
        <v>13</v>
      </c>
      <c r="K102">
        <v>100</v>
      </c>
    </row>
    <row r="103" spans="1:11" x14ac:dyDescent="0.35">
      <c r="A103">
        <v>13106024</v>
      </c>
      <c r="B103" t="s">
        <v>10</v>
      </c>
      <c r="C103" t="str">
        <f>VLOOKUP(A103,codigos!A$2:B$43,2,FALSE)</f>
        <v>MIS PRIMERAS HUELLAS</v>
      </c>
      <c r="D103" t="s">
        <v>97</v>
      </c>
      <c r="E103" t="s">
        <v>15</v>
      </c>
      <c r="F103" t="s">
        <v>12</v>
      </c>
      <c r="G103">
        <v>32</v>
      </c>
      <c r="H103">
        <v>32</v>
      </c>
      <c r="I103">
        <v>0</v>
      </c>
      <c r="J103" t="s">
        <v>13</v>
      </c>
      <c r="K103">
        <v>100</v>
      </c>
    </row>
    <row r="104" spans="1:11" x14ac:dyDescent="0.35">
      <c r="A104">
        <v>13119031</v>
      </c>
      <c r="B104" t="s">
        <v>14</v>
      </c>
      <c r="C104" t="str">
        <f>VLOOKUP(A104,codigos!A$2:B$43,2,FALSE)</f>
        <v>MOLINO DE COLORES</v>
      </c>
      <c r="D104" t="s">
        <v>98</v>
      </c>
      <c r="E104" t="s">
        <v>31</v>
      </c>
      <c r="F104" t="s">
        <v>12</v>
      </c>
      <c r="G104">
        <v>32</v>
      </c>
      <c r="H104">
        <v>31</v>
      </c>
      <c r="I104">
        <v>1</v>
      </c>
      <c r="J104" t="s">
        <v>13</v>
      </c>
      <c r="K104">
        <v>96.88</v>
      </c>
    </row>
    <row r="105" spans="1:11" x14ac:dyDescent="0.35">
      <c r="A105">
        <v>13119031</v>
      </c>
      <c r="B105" t="s">
        <v>16</v>
      </c>
      <c r="C105" t="str">
        <f>VLOOKUP(A105,codigos!A$2:B$43,2,FALSE)</f>
        <v>MOLINO DE COLORES</v>
      </c>
      <c r="D105" t="s">
        <v>98</v>
      </c>
      <c r="E105" t="s">
        <v>17</v>
      </c>
      <c r="F105" t="s">
        <v>12</v>
      </c>
      <c r="G105">
        <v>20</v>
      </c>
      <c r="H105">
        <v>19</v>
      </c>
      <c r="I105">
        <v>1</v>
      </c>
      <c r="J105" t="s">
        <v>13</v>
      </c>
      <c r="K105">
        <v>95</v>
      </c>
    </row>
    <row r="106" spans="1:11" x14ac:dyDescent="0.35">
      <c r="A106">
        <v>13119023</v>
      </c>
      <c r="B106" t="s">
        <v>21</v>
      </c>
      <c r="C106" t="str">
        <f>VLOOKUP(A106,codigos!A$2:B$43,2,FALSE)</f>
        <v>NUEVO MUNDO</v>
      </c>
      <c r="D106" t="s">
        <v>99</v>
      </c>
      <c r="E106" t="s">
        <v>11</v>
      </c>
      <c r="F106" t="s">
        <v>12</v>
      </c>
      <c r="G106">
        <v>32</v>
      </c>
      <c r="H106">
        <v>32</v>
      </c>
      <c r="I106">
        <v>0</v>
      </c>
      <c r="J106" t="s">
        <v>13</v>
      </c>
      <c r="K106">
        <v>100</v>
      </c>
    </row>
    <row r="107" spans="1:11" x14ac:dyDescent="0.35">
      <c r="A107">
        <v>13119023</v>
      </c>
      <c r="B107" t="s">
        <v>10</v>
      </c>
      <c r="C107" t="str">
        <f>VLOOKUP(A107,codigos!A$2:B$43,2,FALSE)</f>
        <v>NUEVO MUNDO</v>
      </c>
      <c r="D107" t="s">
        <v>99</v>
      </c>
      <c r="E107" t="s">
        <v>15</v>
      </c>
      <c r="F107" t="s">
        <v>12</v>
      </c>
      <c r="G107">
        <v>28</v>
      </c>
      <c r="H107">
        <v>28</v>
      </c>
      <c r="I107">
        <v>0</v>
      </c>
      <c r="J107" t="s">
        <v>13</v>
      </c>
      <c r="K107">
        <v>100</v>
      </c>
    </row>
    <row r="108" spans="1:11" x14ac:dyDescent="0.35">
      <c r="A108">
        <v>13119023</v>
      </c>
      <c r="B108" t="s">
        <v>14</v>
      </c>
      <c r="C108" t="str">
        <f>VLOOKUP(A108,codigos!A$2:B$43,2,FALSE)</f>
        <v>NUEVO MUNDO</v>
      </c>
      <c r="D108" t="s">
        <v>99</v>
      </c>
      <c r="E108" t="s">
        <v>17</v>
      </c>
      <c r="F108" t="s">
        <v>12</v>
      </c>
      <c r="G108">
        <v>20</v>
      </c>
      <c r="H108">
        <v>20</v>
      </c>
      <c r="I108">
        <v>0</v>
      </c>
      <c r="J108" t="s">
        <v>13</v>
      </c>
      <c r="K108">
        <v>100</v>
      </c>
    </row>
    <row r="109" spans="1:11" x14ac:dyDescent="0.35">
      <c r="A109">
        <v>13119023</v>
      </c>
      <c r="B109" t="s">
        <v>16</v>
      </c>
      <c r="C109" t="str">
        <f>VLOOKUP(A109,codigos!A$2:B$43,2,FALSE)</f>
        <v>NUEVO MUNDO</v>
      </c>
      <c r="D109" t="s">
        <v>99</v>
      </c>
      <c r="E109" t="s">
        <v>26</v>
      </c>
      <c r="F109" t="s">
        <v>12</v>
      </c>
      <c r="G109">
        <v>20</v>
      </c>
      <c r="H109">
        <v>18</v>
      </c>
      <c r="I109">
        <v>2</v>
      </c>
      <c r="J109" t="s">
        <v>13</v>
      </c>
      <c r="K109">
        <v>90</v>
      </c>
    </row>
    <row r="110" spans="1:11" x14ac:dyDescent="0.35">
      <c r="A110">
        <v>13102013</v>
      </c>
      <c r="B110" t="s">
        <v>10</v>
      </c>
      <c r="C110" t="str">
        <f>VLOOKUP(A110,codigos!A$2:B$43,2,FALSE)</f>
        <v>ORESTE PLATH</v>
      </c>
      <c r="D110" t="s">
        <v>100</v>
      </c>
      <c r="E110" t="s">
        <v>15</v>
      </c>
      <c r="F110" t="s">
        <v>12</v>
      </c>
      <c r="G110">
        <v>32</v>
      </c>
      <c r="H110">
        <v>30</v>
      </c>
      <c r="I110">
        <v>2</v>
      </c>
      <c r="J110" t="s">
        <v>13</v>
      </c>
      <c r="K110">
        <v>93.75</v>
      </c>
    </row>
    <row r="111" spans="1:11" x14ac:dyDescent="0.35">
      <c r="A111">
        <v>13102013</v>
      </c>
      <c r="B111" t="s">
        <v>21</v>
      </c>
      <c r="C111" t="str">
        <f>VLOOKUP(A111,codigos!A$2:B$43,2,FALSE)</f>
        <v>ORESTE PLATH</v>
      </c>
      <c r="D111" t="s">
        <v>100</v>
      </c>
      <c r="E111" t="s">
        <v>11</v>
      </c>
      <c r="F111" t="s">
        <v>12</v>
      </c>
      <c r="G111">
        <v>32</v>
      </c>
      <c r="H111">
        <v>30</v>
      </c>
      <c r="I111">
        <v>2</v>
      </c>
      <c r="J111" t="s">
        <v>13</v>
      </c>
      <c r="K111">
        <v>93.75</v>
      </c>
    </row>
    <row r="112" spans="1:11" x14ac:dyDescent="0.35">
      <c r="A112">
        <v>13102013</v>
      </c>
      <c r="B112" t="s">
        <v>16</v>
      </c>
      <c r="C112" t="str">
        <f>VLOOKUP(A112,codigos!A$2:B$43,2,FALSE)</f>
        <v>ORESTE PLATH</v>
      </c>
      <c r="D112" t="s">
        <v>100</v>
      </c>
      <c r="E112" t="s">
        <v>26</v>
      </c>
      <c r="F112" t="s">
        <v>12</v>
      </c>
      <c r="G112">
        <v>20</v>
      </c>
      <c r="H112">
        <v>15</v>
      </c>
      <c r="I112">
        <v>5</v>
      </c>
      <c r="J112" t="s">
        <v>13</v>
      </c>
      <c r="K112">
        <v>75</v>
      </c>
    </row>
    <row r="113" spans="1:11" x14ac:dyDescent="0.35">
      <c r="A113">
        <v>13102013</v>
      </c>
      <c r="B113" t="s">
        <v>14</v>
      </c>
      <c r="C113" t="str">
        <f>VLOOKUP(A113,codigos!A$2:B$43,2,FALSE)</f>
        <v>ORESTE PLATH</v>
      </c>
      <c r="D113" t="s">
        <v>100</v>
      </c>
      <c r="E113" t="s">
        <v>17</v>
      </c>
      <c r="F113" t="s">
        <v>12</v>
      </c>
      <c r="G113">
        <v>20</v>
      </c>
      <c r="H113">
        <v>20</v>
      </c>
      <c r="I113">
        <v>0</v>
      </c>
      <c r="J113" t="s">
        <v>13</v>
      </c>
      <c r="K113">
        <v>100</v>
      </c>
    </row>
    <row r="114" spans="1:11" x14ac:dyDescent="0.35">
      <c r="A114">
        <v>13119020</v>
      </c>
      <c r="B114" t="s">
        <v>16</v>
      </c>
      <c r="C114" t="str">
        <f>VLOOKUP(A114,codigos!A$2:B$43,2,FALSE)</f>
        <v>PALLAMAR</v>
      </c>
      <c r="D114" t="s">
        <v>101</v>
      </c>
      <c r="E114" t="s">
        <v>17</v>
      </c>
      <c r="F114" t="s">
        <v>12</v>
      </c>
      <c r="G114">
        <v>20</v>
      </c>
      <c r="H114">
        <v>14</v>
      </c>
      <c r="I114">
        <v>6</v>
      </c>
      <c r="J114" t="s">
        <v>13</v>
      </c>
      <c r="K114">
        <v>70</v>
      </c>
    </row>
    <row r="115" spans="1:11" x14ac:dyDescent="0.35">
      <c r="A115">
        <v>13119020</v>
      </c>
      <c r="B115" t="s">
        <v>14</v>
      </c>
      <c r="C115" t="str">
        <f>VLOOKUP(A115,codigos!A$2:B$43,2,FALSE)</f>
        <v>PALLAMAR</v>
      </c>
      <c r="D115" t="s">
        <v>101</v>
      </c>
      <c r="E115" t="s">
        <v>35</v>
      </c>
      <c r="F115" t="s">
        <v>12</v>
      </c>
      <c r="G115">
        <v>32</v>
      </c>
      <c r="H115">
        <v>32</v>
      </c>
      <c r="I115">
        <v>0</v>
      </c>
      <c r="J115" t="s">
        <v>13</v>
      </c>
      <c r="K115">
        <v>100</v>
      </c>
    </row>
    <row r="116" spans="1:11" x14ac:dyDescent="0.35">
      <c r="A116">
        <v>13119019</v>
      </c>
      <c r="B116" t="s">
        <v>16</v>
      </c>
      <c r="C116" t="str">
        <f>VLOOKUP(A116,codigos!A$2:B$43,2,FALSE)</f>
        <v xml:space="preserve">PEHUÉN </v>
      </c>
      <c r="D116" t="s">
        <v>102</v>
      </c>
      <c r="E116" t="s">
        <v>26</v>
      </c>
      <c r="F116" t="s">
        <v>12</v>
      </c>
      <c r="G116">
        <v>14</v>
      </c>
      <c r="H116">
        <v>13</v>
      </c>
      <c r="I116">
        <v>1</v>
      </c>
      <c r="J116" t="s">
        <v>13</v>
      </c>
      <c r="K116">
        <v>92.86</v>
      </c>
    </row>
    <row r="117" spans="1:11" x14ac:dyDescent="0.35">
      <c r="A117">
        <v>13119019</v>
      </c>
      <c r="B117" t="s">
        <v>10</v>
      </c>
      <c r="C117" t="str">
        <f>VLOOKUP(A117,codigos!A$2:B$43,2,FALSE)</f>
        <v xml:space="preserve">PEHUÉN </v>
      </c>
      <c r="D117" t="s">
        <v>102</v>
      </c>
      <c r="E117" t="s">
        <v>15</v>
      </c>
      <c r="F117" t="s">
        <v>12</v>
      </c>
      <c r="G117">
        <v>28</v>
      </c>
      <c r="H117">
        <v>28</v>
      </c>
      <c r="I117">
        <v>0</v>
      </c>
      <c r="J117" t="s">
        <v>13</v>
      </c>
      <c r="K117">
        <v>100</v>
      </c>
    </row>
    <row r="118" spans="1:11" x14ac:dyDescent="0.35">
      <c r="A118">
        <v>13119019</v>
      </c>
      <c r="B118" t="s">
        <v>21</v>
      </c>
      <c r="C118" t="str">
        <f>VLOOKUP(A118,codigos!A$2:B$43,2,FALSE)</f>
        <v xml:space="preserve">PEHUÉN </v>
      </c>
      <c r="D118" t="s">
        <v>102</v>
      </c>
      <c r="E118" t="s">
        <v>11</v>
      </c>
      <c r="F118" t="s">
        <v>12</v>
      </c>
      <c r="G118">
        <v>32</v>
      </c>
      <c r="H118">
        <v>31</v>
      </c>
      <c r="I118">
        <v>1</v>
      </c>
      <c r="J118" t="s">
        <v>13</v>
      </c>
      <c r="K118">
        <v>96.88</v>
      </c>
    </row>
    <row r="119" spans="1:11" x14ac:dyDescent="0.35">
      <c r="A119">
        <v>13119019</v>
      </c>
      <c r="B119" t="s">
        <v>14</v>
      </c>
      <c r="C119" t="str">
        <f>VLOOKUP(A119,codigos!A$2:B$43,2,FALSE)</f>
        <v xml:space="preserve">PEHUÉN </v>
      </c>
      <c r="D119" t="s">
        <v>102</v>
      </c>
      <c r="E119" t="s">
        <v>17</v>
      </c>
      <c r="F119" t="s">
        <v>12</v>
      </c>
      <c r="G119">
        <v>14</v>
      </c>
      <c r="H119">
        <v>14</v>
      </c>
      <c r="I119">
        <v>0</v>
      </c>
      <c r="J119" t="s">
        <v>13</v>
      </c>
      <c r="K119">
        <v>100</v>
      </c>
    </row>
    <row r="120" spans="1:11" x14ac:dyDescent="0.35">
      <c r="A120">
        <v>13119028</v>
      </c>
      <c r="B120" t="s">
        <v>16</v>
      </c>
      <c r="C120" t="str">
        <f>VLOOKUP(A120,codigos!A$2:B$43,2,FALSE)</f>
        <v>PEQUEÑAS MARAVILLAS</v>
      </c>
      <c r="D120" t="s">
        <v>103</v>
      </c>
      <c r="E120" t="s">
        <v>17</v>
      </c>
      <c r="F120" t="s">
        <v>12</v>
      </c>
      <c r="G120">
        <v>20</v>
      </c>
      <c r="H120">
        <v>20</v>
      </c>
      <c r="I120">
        <v>0</v>
      </c>
      <c r="J120" t="s">
        <v>13</v>
      </c>
      <c r="K120">
        <v>100</v>
      </c>
    </row>
    <row r="121" spans="1:11" x14ac:dyDescent="0.35">
      <c r="A121">
        <v>13119028</v>
      </c>
      <c r="B121" t="s">
        <v>14</v>
      </c>
      <c r="C121" t="str">
        <f>VLOOKUP(A121,codigos!A$2:B$43,2,FALSE)</f>
        <v>PEQUEÑAS MARAVILLAS</v>
      </c>
      <c r="D121" t="s">
        <v>103</v>
      </c>
      <c r="E121" t="s">
        <v>15</v>
      </c>
      <c r="F121" t="s">
        <v>12</v>
      </c>
      <c r="G121">
        <v>28</v>
      </c>
      <c r="H121">
        <v>27</v>
      </c>
      <c r="I121">
        <v>1</v>
      </c>
      <c r="J121" t="s">
        <v>13</v>
      </c>
      <c r="K121">
        <v>96.43</v>
      </c>
    </row>
    <row r="122" spans="1:11" x14ac:dyDescent="0.35">
      <c r="A122">
        <v>13119028</v>
      </c>
      <c r="B122" t="s">
        <v>10</v>
      </c>
      <c r="C122" t="str">
        <f>VLOOKUP(A122,codigos!A$2:B$43,2,FALSE)</f>
        <v>PEQUEÑAS MARAVILLAS</v>
      </c>
      <c r="D122" t="s">
        <v>103</v>
      </c>
      <c r="E122" t="s">
        <v>11</v>
      </c>
      <c r="F122" t="s">
        <v>12</v>
      </c>
      <c r="G122">
        <v>32</v>
      </c>
      <c r="H122">
        <v>31</v>
      </c>
      <c r="I122">
        <v>1</v>
      </c>
      <c r="J122" t="s">
        <v>13</v>
      </c>
      <c r="K122">
        <v>96.88</v>
      </c>
    </row>
    <row r="123" spans="1:11" x14ac:dyDescent="0.35">
      <c r="A123">
        <v>13119003</v>
      </c>
      <c r="B123" t="s">
        <v>10</v>
      </c>
      <c r="C123" t="str">
        <f>VLOOKUP(A123,codigos!A$2:B$43,2,FALSE)</f>
        <v>PEQUEÑOS EXPLORADORES</v>
      </c>
      <c r="D123" t="s">
        <v>104</v>
      </c>
      <c r="E123" t="s">
        <v>11</v>
      </c>
      <c r="F123" t="s">
        <v>12</v>
      </c>
      <c r="G123">
        <v>28</v>
      </c>
      <c r="H123">
        <v>13</v>
      </c>
      <c r="I123">
        <v>15</v>
      </c>
      <c r="J123" t="s">
        <v>13</v>
      </c>
      <c r="K123">
        <v>46.43</v>
      </c>
    </row>
    <row r="124" spans="1:11" x14ac:dyDescent="0.35">
      <c r="A124">
        <v>13119003</v>
      </c>
      <c r="B124" t="s">
        <v>14</v>
      </c>
      <c r="C124" t="str">
        <f>VLOOKUP(A124,codigos!A$2:B$43,2,FALSE)</f>
        <v>PEQUEÑOS EXPLORADORES</v>
      </c>
      <c r="D124" t="s">
        <v>104</v>
      </c>
      <c r="E124" t="s">
        <v>11</v>
      </c>
      <c r="F124" t="s">
        <v>12</v>
      </c>
      <c r="G124">
        <v>28</v>
      </c>
      <c r="H124">
        <v>16</v>
      </c>
      <c r="I124">
        <v>12</v>
      </c>
      <c r="J124" t="s">
        <v>13</v>
      </c>
      <c r="K124">
        <v>57.14</v>
      </c>
    </row>
    <row r="125" spans="1:11" x14ac:dyDescent="0.35">
      <c r="A125">
        <v>13119003</v>
      </c>
      <c r="B125" t="s">
        <v>21</v>
      </c>
      <c r="C125" t="str">
        <f>VLOOKUP(A125,codigos!A$2:B$43,2,FALSE)</f>
        <v>PEQUEÑOS EXPLORADORES</v>
      </c>
      <c r="D125" t="s">
        <v>104</v>
      </c>
      <c r="E125" t="s">
        <v>44</v>
      </c>
      <c r="F125" t="s">
        <v>12</v>
      </c>
      <c r="G125">
        <v>32</v>
      </c>
      <c r="H125">
        <v>24</v>
      </c>
      <c r="I125">
        <v>8</v>
      </c>
      <c r="J125" t="s">
        <v>13</v>
      </c>
      <c r="K125">
        <v>75</v>
      </c>
    </row>
    <row r="126" spans="1:11" x14ac:dyDescent="0.35">
      <c r="A126">
        <v>13119003</v>
      </c>
      <c r="B126" t="s">
        <v>16</v>
      </c>
      <c r="C126" t="str">
        <f>VLOOKUP(A126,codigos!A$2:B$43,2,FALSE)</f>
        <v>PEQUEÑOS EXPLORADORES</v>
      </c>
      <c r="D126" t="s">
        <v>104</v>
      </c>
      <c r="E126" t="s">
        <v>15</v>
      </c>
      <c r="F126" t="s">
        <v>12</v>
      </c>
      <c r="G126">
        <v>28</v>
      </c>
      <c r="H126">
        <v>27</v>
      </c>
      <c r="I126">
        <v>1</v>
      </c>
      <c r="J126" t="s">
        <v>13</v>
      </c>
      <c r="K126">
        <v>96.43</v>
      </c>
    </row>
    <row r="127" spans="1:11" x14ac:dyDescent="0.35">
      <c r="A127">
        <v>13119022</v>
      </c>
      <c r="B127" t="s">
        <v>37</v>
      </c>
      <c r="C127" t="str">
        <f>VLOOKUP(A127,codigos!A$2:B$43,2,FALSE)</f>
        <v>PINCELES Y COLORES</v>
      </c>
      <c r="D127" t="s">
        <v>105</v>
      </c>
      <c r="E127" t="s">
        <v>15</v>
      </c>
      <c r="F127" t="s">
        <v>12</v>
      </c>
      <c r="G127">
        <v>28</v>
      </c>
      <c r="H127">
        <v>26</v>
      </c>
      <c r="I127">
        <v>2</v>
      </c>
      <c r="J127" t="s">
        <v>13</v>
      </c>
      <c r="K127">
        <v>92.86</v>
      </c>
    </row>
    <row r="128" spans="1:11" x14ac:dyDescent="0.35">
      <c r="A128">
        <v>13119022</v>
      </c>
      <c r="B128" t="s">
        <v>16</v>
      </c>
      <c r="C128" t="str">
        <f>VLOOKUP(A128,codigos!A$2:B$43,2,FALSE)</f>
        <v>PINCELES Y COLORES</v>
      </c>
      <c r="D128" t="s">
        <v>105</v>
      </c>
      <c r="E128" t="s">
        <v>26</v>
      </c>
      <c r="F128" t="s">
        <v>12</v>
      </c>
      <c r="G128">
        <v>20</v>
      </c>
      <c r="H128">
        <v>4</v>
      </c>
      <c r="I128">
        <v>16</v>
      </c>
      <c r="J128" t="s">
        <v>13</v>
      </c>
      <c r="K128">
        <v>20</v>
      </c>
    </row>
    <row r="129" spans="1:11" x14ac:dyDescent="0.35">
      <c r="A129">
        <v>13119022</v>
      </c>
      <c r="B129" t="s">
        <v>10</v>
      </c>
      <c r="C129" t="str">
        <f>VLOOKUP(A129,codigos!A$2:B$43,2,FALSE)</f>
        <v>PINCELES Y COLORES</v>
      </c>
      <c r="D129" t="s">
        <v>105</v>
      </c>
      <c r="E129" t="s">
        <v>26</v>
      </c>
      <c r="F129" t="s">
        <v>12</v>
      </c>
      <c r="G129">
        <v>20</v>
      </c>
      <c r="H129">
        <v>4</v>
      </c>
      <c r="I129">
        <v>16</v>
      </c>
      <c r="J129" t="s">
        <v>13</v>
      </c>
      <c r="K129">
        <v>20</v>
      </c>
    </row>
    <row r="130" spans="1:11" x14ac:dyDescent="0.35">
      <c r="A130">
        <v>13119022</v>
      </c>
      <c r="B130" t="s">
        <v>19</v>
      </c>
      <c r="C130" t="str">
        <f>VLOOKUP(A130,codigos!A$2:B$43,2,FALSE)</f>
        <v>PINCELES Y COLORES</v>
      </c>
      <c r="D130" t="s">
        <v>105</v>
      </c>
      <c r="E130" t="s">
        <v>17</v>
      </c>
      <c r="F130" t="s">
        <v>12</v>
      </c>
      <c r="G130">
        <v>20</v>
      </c>
      <c r="H130">
        <v>20</v>
      </c>
      <c r="I130">
        <v>0</v>
      </c>
      <c r="J130" t="s">
        <v>13</v>
      </c>
      <c r="K130">
        <v>100</v>
      </c>
    </row>
    <row r="131" spans="1:11" x14ac:dyDescent="0.35">
      <c r="A131">
        <v>13119022</v>
      </c>
      <c r="B131" t="s">
        <v>20</v>
      </c>
      <c r="C131" t="str">
        <f>VLOOKUP(A131,codigos!A$2:B$43,2,FALSE)</f>
        <v>PINCELES Y COLORES</v>
      </c>
      <c r="D131" t="s">
        <v>105</v>
      </c>
      <c r="E131" t="s">
        <v>17</v>
      </c>
      <c r="F131" t="s">
        <v>12</v>
      </c>
      <c r="G131">
        <v>20</v>
      </c>
      <c r="H131">
        <v>20</v>
      </c>
      <c r="I131">
        <v>0</v>
      </c>
      <c r="J131" t="s">
        <v>13</v>
      </c>
      <c r="K131">
        <v>100</v>
      </c>
    </row>
    <row r="132" spans="1:11" x14ac:dyDescent="0.35">
      <c r="A132">
        <v>13119022</v>
      </c>
      <c r="B132" t="s">
        <v>43</v>
      </c>
      <c r="C132" t="str">
        <f>VLOOKUP(A132,codigos!A$2:B$43,2,FALSE)</f>
        <v>PINCELES Y COLORES</v>
      </c>
      <c r="D132" t="s">
        <v>105</v>
      </c>
      <c r="E132" t="s">
        <v>11</v>
      </c>
      <c r="F132" t="s">
        <v>12</v>
      </c>
      <c r="G132">
        <v>32</v>
      </c>
      <c r="H132">
        <v>28</v>
      </c>
      <c r="I132">
        <v>4</v>
      </c>
      <c r="J132" t="s">
        <v>13</v>
      </c>
      <c r="K132">
        <v>87.5</v>
      </c>
    </row>
    <row r="133" spans="1:11" x14ac:dyDescent="0.35">
      <c r="A133">
        <v>13119022</v>
      </c>
      <c r="B133" t="s">
        <v>36</v>
      </c>
      <c r="C133" t="str">
        <f>VLOOKUP(A133,codigos!A$2:B$43,2,FALSE)</f>
        <v>PINCELES Y COLORES</v>
      </c>
      <c r="D133" t="s">
        <v>105</v>
      </c>
      <c r="E133" t="s">
        <v>15</v>
      </c>
      <c r="F133" t="s">
        <v>12</v>
      </c>
      <c r="G133">
        <v>28</v>
      </c>
      <c r="H133">
        <v>28</v>
      </c>
      <c r="I133">
        <v>0</v>
      </c>
      <c r="J133" t="s">
        <v>13</v>
      </c>
      <c r="K133">
        <v>100</v>
      </c>
    </row>
    <row r="134" spans="1:11" x14ac:dyDescent="0.35">
      <c r="A134">
        <v>13119022</v>
      </c>
      <c r="B134" t="s">
        <v>45</v>
      </c>
      <c r="C134" t="str">
        <f>VLOOKUP(A134,codigos!A$2:B$43,2,FALSE)</f>
        <v>PINCELES Y COLORES</v>
      </c>
      <c r="D134" t="s">
        <v>105</v>
      </c>
      <c r="E134" t="s">
        <v>11</v>
      </c>
      <c r="F134" t="s">
        <v>12</v>
      </c>
      <c r="G134">
        <v>32</v>
      </c>
      <c r="H134">
        <v>30</v>
      </c>
      <c r="I134">
        <v>2</v>
      </c>
      <c r="J134" t="s">
        <v>13</v>
      </c>
      <c r="K134">
        <v>93.75</v>
      </c>
    </row>
    <row r="135" spans="1:11" x14ac:dyDescent="0.35">
      <c r="A135">
        <v>13119022</v>
      </c>
      <c r="B135" t="s">
        <v>21</v>
      </c>
      <c r="C135" t="str">
        <f>VLOOKUP(A135,codigos!A$2:B$43,2,FALSE)</f>
        <v>PINCELES Y COLORES</v>
      </c>
      <c r="D135" t="s">
        <v>105</v>
      </c>
      <c r="E135" t="s">
        <v>17</v>
      </c>
      <c r="F135" t="s">
        <v>12</v>
      </c>
      <c r="G135">
        <v>20</v>
      </c>
      <c r="H135">
        <v>12</v>
      </c>
      <c r="I135">
        <v>8</v>
      </c>
      <c r="J135" t="s">
        <v>13</v>
      </c>
      <c r="K135">
        <v>60</v>
      </c>
    </row>
    <row r="136" spans="1:11" x14ac:dyDescent="0.35">
      <c r="A136">
        <v>13119035</v>
      </c>
      <c r="B136" t="s">
        <v>21</v>
      </c>
      <c r="C136" t="str">
        <f>VLOOKUP(A136,codigos!A$2:B$43,2,FALSE)</f>
        <v>RAYEN MAPU</v>
      </c>
      <c r="D136" t="s">
        <v>106</v>
      </c>
      <c r="E136" t="s">
        <v>11</v>
      </c>
      <c r="F136" t="s">
        <v>12</v>
      </c>
      <c r="G136">
        <v>32</v>
      </c>
      <c r="H136">
        <v>26</v>
      </c>
      <c r="I136">
        <v>6</v>
      </c>
      <c r="J136" t="s">
        <v>13</v>
      </c>
      <c r="K136">
        <v>81.25</v>
      </c>
    </row>
    <row r="137" spans="1:11" x14ac:dyDescent="0.35">
      <c r="A137">
        <v>13119035</v>
      </c>
      <c r="B137" t="s">
        <v>14</v>
      </c>
      <c r="C137" t="str">
        <f>VLOOKUP(A137,codigos!A$2:B$43,2,FALSE)</f>
        <v>RAYEN MAPU</v>
      </c>
      <c r="D137" t="s">
        <v>106</v>
      </c>
      <c r="E137" t="s">
        <v>17</v>
      </c>
      <c r="F137" t="s">
        <v>12</v>
      </c>
      <c r="G137">
        <v>20</v>
      </c>
      <c r="H137">
        <v>7</v>
      </c>
      <c r="I137">
        <v>13</v>
      </c>
      <c r="J137" t="s">
        <v>13</v>
      </c>
      <c r="K137">
        <v>35</v>
      </c>
    </row>
    <row r="138" spans="1:11" x14ac:dyDescent="0.35">
      <c r="A138">
        <v>13119035</v>
      </c>
      <c r="B138" t="s">
        <v>19</v>
      </c>
      <c r="C138" t="str">
        <f>VLOOKUP(A138,codigos!A$2:B$43,2,FALSE)</f>
        <v>RAYEN MAPU</v>
      </c>
      <c r="D138" t="s">
        <v>106</v>
      </c>
      <c r="E138" t="s">
        <v>22</v>
      </c>
      <c r="F138" t="s">
        <v>12</v>
      </c>
      <c r="G138">
        <v>20</v>
      </c>
      <c r="H138">
        <v>5</v>
      </c>
      <c r="I138">
        <v>15</v>
      </c>
      <c r="J138" t="s">
        <v>13</v>
      </c>
      <c r="K138">
        <v>25</v>
      </c>
    </row>
    <row r="139" spans="1:11" x14ac:dyDescent="0.35">
      <c r="A139">
        <v>13119035</v>
      </c>
      <c r="B139" t="s">
        <v>10</v>
      </c>
      <c r="C139" t="str">
        <f>VLOOKUP(A139,codigos!A$2:B$43,2,FALSE)</f>
        <v>RAYEN MAPU</v>
      </c>
      <c r="D139" t="s">
        <v>106</v>
      </c>
      <c r="E139" t="s">
        <v>15</v>
      </c>
      <c r="F139" t="s">
        <v>12</v>
      </c>
      <c r="G139">
        <v>32</v>
      </c>
      <c r="H139">
        <v>32</v>
      </c>
      <c r="I139">
        <v>0</v>
      </c>
      <c r="J139" t="s">
        <v>13</v>
      </c>
      <c r="K139">
        <v>100</v>
      </c>
    </row>
    <row r="140" spans="1:11" x14ac:dyDescent="0.35">
      <c r="A140">
        <v>13102011</v>
      </c>
      <c r="B140" t="s">
        <v>16</v>
      </c>
      <c r="C140" t="str">
        <f>VLOOKUP(A140,codigos!A$2:B$43,2,FALSE)</f>
        <v>RÍO MAGDALENA</v>
      </c>
      <c r="D140" t="s">
        <v>107</v>
      </c>
      <c r="E140" t="s">
        <v>22</v>
      </c>
      <c r="F140" t="s">
        <v>12</v>
      </c>
      <c r="G140">
        <v>20</v>
      </c>
      <c r="H140">
        <v>6</v>
      </c>
      <c r="I140">
        <v>14</v>
      </c>
      <c r="J140" t="s">
        <v>13</v>
      </c>
      <c r="K140">
        <v>30</v>
      </c>
    </row>
    <row r="141" spans="1:11" x14ac:dyDescent="0.35">
      <c r="A141">
        <v>13102011</v>
      </c>
      <c r="B141" t="s">
        <v>14</v>
      </c>
      <c r="C141" t="str">
        <f>VLOOKUP(A141,codigos!A$2:B$43,2,FALSE)</f>
        <v>RÍO MAGDALENA</v>
      </c>
      <c r="D141" t="s">
        <v>107</v>
      </c>
      <c r="E141" t="s">
        <v>17</v>
      </c>
      <c r="F141" t="s">
        <v>12</v>
      </c>
      <c r="G141">
        <v>20</v>
      </c>
      <c r="H141">
        <v>14</v>
      </c>
      <c r="I141">
        <v>6</v>
      </c>
      <c r="J141" t="s">
        <v>13</v>
      </c>
      <c r="K141">
        <v>70</v>
      </c>
    </row>
    <row r="142" spans="1:11" x14ac:dyDescent="0.35">
      <c r="A142">
        <v>13102011</v>
      </c>
      <c r="B142" t="s">
        <v>21</v>
      </c>
      <c r="C142" t="str">
        <f>VLOOKUP(A142,codigos!A$2:B$43,2,FALSE)</f>
        <v>RÍO MAGDALENA</v>
      </c>
      <c r="D142" t="s">
        <v>107</v>
      </c>
      <c r="E142" t="s">
        <v>11</v>
      </c>
      <c r="F142" t="s">
        <v>12</v>
      </c>
      <c r="G142">
        <v>32</v>
      </c>
      <c r="H142">
        <v>31</v>
      </c>
      <c r="I142">
        <v>1</v>
      </c>
      <c r="J142" t="s">
        <v>13</v>
      </c>
      <c r="K142">
        <v>96.88</v>
      </c>
    </row>
    <row r="143" spans="1:11" x14ac:dyDescent="0.35">
      <c r="A143">
        <v>13102011</v>
      </c>
      <c r="B143" t="s">
        <v>10</v>
      </c>
      <c r="C143" t="str">
        <f>VLOOKUP(A143,codigos!A$2:B$43,2,FALSE)</f>
        <v>RÍO MAGDALENA</v>
      </c>
      <c r="D143" t="s">
        <v>107</v>
      </c>
      <c r="E143" t="s">
        <v>15</v>
      </c>
      <c r="F143" t="s">
        <v>12</v>
      </c>
      <c r="G143">
        <v>32</v>
      </c>
      <c r="H143">
        <v>27</v>
      </c>
      <c r="I143">
        <v>5</v>
      </c>
      <c r="J143" t="s">
        <v>13</v>
      </c>
      <c r="K143">
        <v>84.38</v>
      </c>
    </row>
    <row r="144" spans="1:11" x14ac:dyDescent="0.35">
      <c r="A144">
        <v>13102007</v>
      </c>
      <c r="B144" t="s">
        <v>16</v>
      </c>
      <c r="C144" t="str">
        <f>VLOOKUP(A144,codigos!A$2:B$43,2,FALSE)</f>
        <v>SALOMON SACK</v>
      </c>
      <c r="D144" t="s">
        <v>108</v>
      </c>
      <c r="E144" t="s">
        <v>26</v>
      </c>
      <c r="F144" t="s">
        <v>12</v>
      </c>
      <c r="G144">
        <v>14</v>
      </c>
      <c r="H144">
        <v>9</v>
      </c>
      <c r="I144">
        <v>5</v>
      </c>
      <c r="J144" t="s">
        <v>13</v>
      </c>
      <c r="K144">
        <v>64.290000000000006</v>
      </c>
    </row>
    <row r="145" spans="1:11" x14ac:dyDescent="0.35">
      <c r="A145">
        <v>13102007</v>
      </c>
      <c r="B145" t="s">
        <v>14</v>
      </c>
      <c r="C145" t="str">
        <f>VLOOKUP(A145,codigos!A$2:B$43,2,FALSE)</f>
        <v>SALOMON SACK</v>
      </c>
      <c r="D145" t="s">
        <v>108</v>
      </c>
      <c r="E145" t="s">
        <v>17</v>
      </c>
      <c r="F145" t="s">
        <v>12</v>
      </c>
      <c r="G145">
        <v>20</v>
      </c>
      <c r="H145">
        <v>20</v>
      </c>
      <c r="I145">
        <v>0</v>
      </c>
      <c r="J145" t="s">
        <v>13</v>
      </c>
      <c r="K145">
        <v>100</v>
      </c>
    </row>
    <row r="146" spans="1:11" x14ac:dyDescent="0.35">
      <c r="A146">
        <v>13102007</v>
      </c>
      <c r="B146" t="s">
        <v>10</v>
      </c>
      <c r="C146" t="str">
        <f>VLOOKUP(A146,codigos!A$2:B$43,2,FALSE)</f>
        <v>SALOMON SACK</v>
      </c>
      <c r="D146" t="s">
        <v>108</v>
      </c>
      <c r="E146" t="s">
        <v>15</v>
      </c>
      <c r="F146" t="s">
        <v>12</v>
      </c>
      <c r="G146">
        <v>32</v>
      </c>
      <c r="H146">
        <v>32</v>
      </c>
      <c r="I146">
        <v>0</v>
      </c>
      <c r="J146" t="s">
        <v>13</v>
      </c>
      <c r="K146">
        <v>100</v>
      </c>
    </row>
    <row r="147" spans="1:11" x14ac:dyDescent="0.35">
      <c r="A147">
        <v>13102007</v>
      </c>
      <c r="B147" t="s">
        <v>21</v>
      </c>
      <c r="C147" t="str">
        <f>VLOOKUP(A147,codigos!A$2:B$43,2,FALSE)</f>
        <v>SALOMON SACK</v>
      </c>
      <c r="D147" t="s">
        <v>108</v>
      </c>
      <c r="E147" t="s">
        <v>11</v>
      </c>
      <c r="F147" t="s">
        <v>12</v>
      </c>
      <c r="G147">
        <v>32</v>
      </c>
      <c r="H147">
        <v>31</v>
      </c>
      <c r="I147">
        <v>1</v>
      </c>
      <c r="J147" t="s">
        <v>13</v>
      </c>
      <c r="K147">
        <v>96.88</v>
      </c>
    </row>
    <row r="148" spans="1:11" x14ac:dyDescent="0.35">
      <c r="A148">
        <v>13119021</v>
      </c>
      <c r="B148" t="s">
        <v>14</v>
      </c>
      <c r="C148" t="str">
        <f>VLOOKUP(A148,codigos!A$2:B$43,2,FALSE)</f>
        <v>SAN JUAN</v>
      </c>
      <c r="D148" t="s">
        <v>111</v>
      </c>
      <c r="E148" t="s">
        <v>17</v>
      </c>
      <c r="F148" t="s">
        <v>12</v>
      </c>
      <c r="G148">
        <v>14</v>
      </c>
      <c r="H148">
        <v>14</v>
      </c>
      <c r="I148">
        <v>0</v>
      </c>
      <c r="J148" t="s">
        <v>13</v>
      </c>
      <c r="K148">
        <v>100</v>
      </c>
    </row>
    <row r="149" spans="1:11" x14ac:dyDescent="0.35">
      <c r="A149">
        <v>13119021</v>
      </c>
      <c r="B149" t="s">
        <v>16</v>
      </c>
      <c r="C149" t="str">
        <f>VLOOKUP(A149,codigos!A$2:B$43,2,FALSE)</f>
        <v>SAN JUAN</v>
      </c>
      <c r="D149" t="s">
        <v>111</v>
      </c>
      <c r="E149" t="s">
        <v>26</v>
      </c>
      <c r="F149" t="s">
        <v>12</v>
      </c>
      <c r="G149">
        <v>14</v>
      </c>
      <c r="H149">
        <v>13</v>
      </c>
      <c r="I149">
        <v>1</v>
      </c>
      <c r="J149" t="s">
        <v>13</v>
      </c>
      <c r="K149">
        <v>92.86</v>
      </c>
    </row>
    <row r="150" spans="1:11" x14ac:dyDescent="0.35">
      <c r="A150">
        <v>13119021</v>
      </c>
      <c r="B150" t="s">
        <v>21</v>
      </c>
      <c r="C150" t="str">
        <f>VLOOKUP(A150,codigos!A$2:B$43,2,FALSE)</f>
        <v>SAN JUAN</v>
      </c>
      <c r="D150" t="s">
        <v>111</v>
      </c>
      <c r="E150" t="s">
        <v>11</v>
      </c>
      <c r="F150" t="s">
        <v>12</v>
      </c>
      <c r="G150">
        <v>32</v>
      </c>
      <c r="H150">
        <v>31</v>
      </c>
      <c r="I150">
        <v>1</v>
      </c>
      <c r="J150" t="s">
        <v>13</v>
      </c>
      <c r="K150">
        <v>96.88</v>
      </c>
    </row>
    <row r="151" spans="1:11" x14ac:dyDescent="0.35">
      <c r="A151">
        <v>13119021</v>
      </c>
      <c r="B151" t="s">
        <v>10</v>
      </c>
      <c r="C151" t="str">
        <f>VLOOKUP(A151,codigos!A$2:B$43,2,FALSE)</f>
        <v>SAN JUAN</v>
      </c>
      <c r="D151" t="s">
        <v>111</v>
      </c>
      <c r="E151" t="s">
        <v>15</v>
      </c>
      <c r="F151" t="s">
        <v>12</v>
      </c>
      <c r="G151">
        <v>28</v>
      </c>
      <c r="H151">
        <v>28</v>
      </c>
      <c r="I151">
        <v>0</v>
      </c>
      <c r="J151" t="s">
        <v>13</v>
      </c>
      <c r="K151">
        <v>100</v>
      </c>
    </row>
    <row r="152" spans="1:11" x14ac:dyDescent="0.35">
      <c r="A152">
        <v>13119030</v>
      </c>
      <c r="B152" t="s">
        <v>10</v>
      </c>
      <c r="C152" t="str">
        <f>VLOOKUP(A152,codigos!A$2:B$43,2,FALSE)</f>
        <v>SEMILLITAS</v>
      </c>
      <c r="D152" t="s">
        <v>112</v>
      </c>
      <c r="E152" t="s">
        <v>15</v>
      </c>
      <c r="F152" t="s">
        <v>12</v>
      </c>
      <c r="G152">
        <v>28</v>
      </c>
      <c r="H152">
        <v>28</v>
      </c>
      <c r="I152">
        <v>0</v>
      </c>
      <c r="J152" t="s">
        <v>13</v>
      </c>
      <c r="K152">
        <v>100</v>
      </c>
    </row>
    <row r="153" spans="1:11" x14ac:dyDescent="0.35">
      <c r="A153">
        <v>13119030</v>
      </c>
      <c r="B153" t="s">
        <v>14</v>
      </c>
      <c r="C153" t="str">
        <f>VLOOKUP(A153,codigos!A$2:B$43,2,FALSE)</f>
        <v>SEMILLITAS</v>
      </c>
      <c r="D153" t="s">
        <v>112</v>
      </c>
      <c r="E153" t="s">
        <v>17</v>
      </c>
      <c r="F153" t="s">
        <v>12</v>
      </c>
      <c r="G153">
        <v>20</v>
      </c>
      <c r="H153">
        <v>18</v>
      </c>
      <c r="I153">
        <v>2</v>
      </c>
      <c r="J153" t="s">
        <v>13</v>
      </c>
      <c r="K153">
        <v>90</v>
      </c>
    </row>
    <row r="154" spans="1:11" x14ac:dyDescent="0.35">
      <c r="A154">
        <v>13119030</v>
      </c>
      <c r="B154" t="s">
        <v>16</v>
      </c>
      <c r="C154" t="str">
        <f>VLOOKUP(A154,codigos!A$2:B$43,2,FALSE)</f>
        <v>SEMILLITAS</v>
      </c>
      <c r="D154" t="s">
        <v>112</v>
      </c>
      <c r="E154" t="s">
        <v>22</v>
      </c>
      <c r="F154" t="s">
        <v>12</v>
      </c>
      <c r="G154">
        <v>20</v>
      </c>
      <c r="H154">
        <v>12</v>
      </c>
      <c r="I154">
        <v>8</v>
      </c>
      <c r="J154" t="s">
        <v>13</v>
      </c>
      <c r="K154">
        <v>60</v>
      </c>
    </row>
    <row r="155" spans="1:11" x14ac:dyDescent="0.35">
      <c r="A155">
        <v>13119030</v>
      </c>
      <c r="B155" t="s">
        <v>21</v>
      </c>
      <c r="C155" t="str">
        <f>VLOOKUP(A155,codigos!A$2:B$43,2,FALSE)</f>
        <v>SEMILLITAS</v>
      </c>
      <c r="D155" t="s">
        <v>112</v>
      </c>
      <c r="E155" t="s">
        <v>11</v>
      </c>
      <c r="F155" t="s">
        <v>12</v>
      </c>
      <c r="G155">
        <v>32</v>
      </c>
      <c r="H155">
        <v>29</v>
      </c>
      <c r="I155">
        <v>3</v>
      </c>
      <c r="J155" t="s">
        <v>13</v>
      </c>
      <c r="K155">
        <v>90.62</v>
      </c>
    </row>
    <row r="156" spans="1:11" x14ac:dyDescent="0.35">
      <c r="A156">
        <v>13119032</v>
      </c>
      <c r="B156" t="s">
        <v>14</v>
      </c>
      <c r="C156" t="str">
        <f>VLOOKUP(A156,codigos!A$2:B$43,2,FALSE)</f>
        <v>SINFONÍA MÁGICA</v>
      </c>
      <c r="D156" t="s">
        <v>113</v>
      </c>
      <c r="E156" t="s">
        <v>17</v>
      </c>
      <c r="F156" t="s">
        <v>12</v>
      </c>
      <c r="G156">
        <v>20</v>
      </c>
      <c r="H156">
        <v>18</v>
      </c>
      <c r="I156">
        <v>2</v>
      </c>
      <c r="J156" t="s">
        <v>13</v>
      </c>
      <c r="K156">
        <v>90</v>
      </c>
    </row>
    <row r="157" spans="1:11" x14ac:dyDescent="0.35">
      <c r="A157">
        <v>13119032</v>
      </c>
      <c r="B157" t="s">
        <v>16</v>
      </c>
      <c r="C157" t="str">
        <f>VLOOKUP(A157,codigos!A$2:B$43,2,FALSE)</f>
        <v>SINFONÍA MÁGICA</v>
      </c>
      <c r="D157" t="s">
        <v>113</v>
      </c>
      <c r="E157" t="s">
        <v>26</v>
      </c>
      <c r="F157" t="s">
        <v>12</v>
      </c>
      <c r="G157">
        <v>20</v>
      </c>
      <c r="H157">
        <v>10</v>
      </c>
      <c r="I157">
        <v>10</v>
      </c>
      <c r="J157" t="s">
        <v>13</v>
      </c>
      <c r="K157">
        <v>50</v>
      </c>
    </row>
    <row r="158" spans="1:11" x14ac:dyDescent="0.35">
      <c r="A158">
        <v>13119032</v>
      </c>
      <c r="B158" t="s">
        <v>21</v>
      </c>
      <c r="C158" t="str">
        <f>VLOOKUP(A158,codigos!A$2:B$43,2,FALSE)</f>
        <v>SINFONÍA MÁGICA</v>
      </c>
      <c r="D158" t="s">
        <v>113</v>
      </c>
      <c r="E158" t="s">
        <v>11</v>
      </c>
      <c r="F158" t="s">
        <v>12</v>
      </c>
      <c r="G158">
        <v>32</v>
      </c>
      <c r="H158">
        <v>30</v>
      </c>
      <c r="I158">
        <v>2</v>
      </c>
      <c r="J158" t="s">
        <v>13</v>
      </c>
      <c r="K158">
        <v>93.75</v>
      </c>
    </row>
    <row r="159" spans="1:11" x14ac:dyDescent="0.35">
      <c r="A159">
        <v>13119032</v>
      </c>
      <c r="B159" t="s">
        <v>10</v>
      </c>
      <c r="C159" t="str">
        <f>VLOOKUP(A159,codigos!A$2:B$43,2,FALSE)</f>
        <v>SINFONÍA MÁGICA</v>
      </c>
      <c r="D159" t="s">
        <v>113</v>
      </c>
      <c r="E159" t="s">
        <v>15</v>
      </c>
      <c r="F159" t="s">
        <v>12</v>
      </c>
      <c r="G159">
        <v>28</v>
      </c>
      <c r="H159">
        <v>28</v>
      </c>
      <c r="I159">
        <v>0</v>
      </c>
      <c r="J159" t="s">
        <v>13</v>
      </c>
      <c r="K159">
        <v>100</v>
      </c>
    </row>
    <row r="160" spans="1:11" x14ac:dyDescent="0.35">
      <c r="A160">
        <v>13119040</v>
      </c>
      <c r="B160" t="s">
        <v>16</v>
      </c>
      <c r="C160" t="str">
        <f>VLOOKUP(A160,codigos!A$2:B$43,2,FALSE)</f>
        <v>VALLE VERDE</v>
      </c>
      <c r="D160" t="s">
        <v>114</v>
      </c>
      <c r="E160" t="s">
        <v>17</v>
      </c>
      <c r="F160" t="s">
        <v>12</v>
      </c>
      <c r="G160">
        <v>16</v>
      </c>
      <c r="H160">
        <v>10</v>
      </c>
      <c r="I160">
        <v>6</v>
      </c>
      <c r="J160" t="s">
        <v>13</v>
      </c>
      <c r="K160">
        <v>62.5</v>
      </c>
    </row>
    <row r="161" spans="1:11" x14ac:dyDescent="0.35">
      <c r="A161">
        <v>13119040</v>
      </c>
      <c r="B161" t="s">
        <v>14</v>
      </c>
      <c r="C161" t="str">
        <f>VLOOKUP(A161,codigos!A$2:B$43,2,FALSE)</f>
        <v>VALLE VERDE</v>
      </c>
      <c r="D161" t="s">
        <v>114</v>
      </c>
      <c r="E161" t="s">
        <v>15</v>
      </c>
      <c r="F161" t="s">
        <v>12</v>
      </c>
      <c r="G161">
        <v>28</v>
      </c>
      <c r="H161">
        <v>24</v>
      </c>
      <c r="I161">
        <v>4</v>
      </c>
      <c r="J161" t="s">
        <v>13</v>
      </c>
      <c r="K161">
        <v>85.71</v>
      </c>
    </row>
    <row r="162" spans="1:11" x14ac:dyDescent="0.35">
      <c r="A162">
        <v>13119018</v>
      </c>
      <c r="B162" t="s">
        <v>14</v>
      </c>
      <c r="C162" t="str">
        <f>VLOOKUP(A162,codigos!A$2:B$43,2,FALSE)</f>
        <v>VICENTE REYES</v>
      </c>
      <c r="D162" t="s">
        <v>109</v>
      </c>
      <c r="E162" t="s">
        <v>17</v>
      </c>
      <c r="F162" t="s">
        <v>12</v>
      </c>
      <c r="G162">
        <v>20</v>
      </c>
      <c r="H162">
        <v>17</v>
      </c>
      <c r="I162">
        <v>3</v>
      </c>
      <c r="J162" t="s">
        <v>13</v>
      </c>
      <c r="K162">
        <v>85</v>
      </c>
    </row>
    <row r="163" spans="1:11" x14ac:dyDescent="0.35">
      <c r="A163">
        <v>13119018</v>
      </c>
      <c r="B163" t="s">
        <v>16</v>
      </c>
      <c r="C163" t="str">
        <f>VLOOKUP(A163,codigos!A$2:B$43,2,FALSE)</f>
        <v>VICENTE REYES</v>
      </c>
      <c r="D163" t="s">
        <v>109</v>
      </c>
      <c r="E163" t="s">
        <v>22</v>
      </c>
      <c r="F163" t="s">
        <v>12</v>
      </c>
      <c r="G163">
        <v>20</v>
      </c>
      <c r="H163">
        <v>10</v>
      </c>
      <c r="I163">
        <v>10</v>
      </c>
      <c r="J163" t="s">
        <v>13</v>
      </c>
      <c r="K163">
        <v>50</v>
      </c>
    </row>
    <row r="164" spans="1:11" x14ac:dyDescent="0.35">
      <c r="A164">
        <v>13102014</v>
      </c>
      <c r="B164" t="s">
        <v>14</v>
      </c>
      <c r="C164" t="str">
        <f>VLOOKUP(A164,codigos!A$2:B$43,2,FALSE)</f>
        <v>VILLA MÉXICO</v>
      </c>
      <c r="D164" t="s">
        <v>110</v>
      </c>
      <c r="E164" t="s">
        <v>11</v>
      </c>
      <c r="F164" t="s">
        <v>12</v>
      </c>
      <c r="G164">
        <v>32</v>
      </c>
      <c r="H164">
        <v>20</v>
      </c>
      <c r="I164">
        <v>12</v>
      </c>
      <c r="J164" t="s">
        <v>13</v>
      </c>
      <c r="K164">
        <v>62.5</v>
      </c>
    </row>
    <row r="165" spans="1:11" x14ac:dyDescent="0.35">
      <c r="A165">
        <v>13102014</v>
      </c>
      <c r="B165" t="s">
        <v>16</v>
      </c>
      <c r="C165" t="str">
        <f>VLOOKUP(A165,codigos!A$2:B$43,2,FALSE)</f>
        <v>VILLA MÉXICO</v>
      </c>
      <c r="D165" t="s">
        <v>110</v>
      </c>
      <c r="E165" t="s">
        <v>15</v>
      </c>
      <c r="F165" t="s">
        <v>12</v>
      </c>
      <c r="G165">
        <v>32</v>
      </c>
      <c r="H165">
        <v>16</v>
      </c>
      <c r="I165">
        <v>16</v>
      </c>
      <c r="J165" t="s">
        <v>13</v>
      </c>
      <c r="K165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abSelected="1" workbookViewId="0">
      <selection activeCell="F2" sqref="F2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72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35">
      <c r="A2" s="1" t="s">
        <v>65</v>
      </c>
      <c r="B2">
        <v>4</v>
      </c>
      <c r="C2">
        <v>98</v>
      </c>
      <c r="D2">
        <v>92</v>
      </c>
      <c r="E2">
        <v>6</v>
      </c>
      <c r="F2">
        <v>93.88</v>
      </c>
    </row>
    <row r="3" spans="1:6" x14ac:dyDescent="0.35">
      <c r="A3" s="1" t="s">
        <v>32</v>
      </c>
      <c r="B3">
        <v>4</v>
      </c>
      <c r="C3">
        <v>104</v>
      </c>
      <c r="D3">
        <v>87</v>
      </c>
      <c r="E3">
        <v>17</v>
      </c>
      <c r="F3">
        <v>83.65</v>
      </c>
    </row>
    <row r="4" spans="1:6" x14ac:dyDescent="0.35">
      <c r="A4" s="1" t="s">
        <v>39</v>
      </c>
      <c r="B4">
        <v>4</v>
      </c>
      <c r="C4">
        <v>104</v>
      </c>
      <c r="D4">
        <v>84</v>
      </c>
      <c r="E4">
        <v>20</v>
      </c>
      <c r="F4">
        <v>80.77</v>
      </c>
    </row>
    <row r="5" spans="1:6" x14ac:dyDescent="0.35">
      <c r="A5" s="1" t="s">
        <v>24</v>
      </c>
      <c r="B5">
        <v>4</v>
      </c>
      <c r="C5">
        <v>104</v>
      </c>
      <c r="D5">
        <v>67</v>
      </c>
      <c r="E5">
        <v>37</v>
      </c>
      <c r="F5">
        <v>64.42</v>
      </c>
    </row>
    <row r="6" spans="1:6" x14ac:dyDescent="0.35">
      <c r="A6" s="1" t="s">
        <v>64</v>
      </c>
      <c r="B6">
        <v>4</v>
      </c>
      <c r="C6">
        <v>104</v>
      </c>
      <c r="D6">
        <v>78</v>
      </c>
      <c r="E6">
        <v>26</v>
      </c>
      <c r="F6">
        <v>75</v>
      </c>
    </row>
    <row r="7" spans="1:6" x14ac:dyDescent="0.35">
      <c r="A7" s="1" t="s">
        <v>57</v>
      </c>
      <c r="B7">
        <v>4</v>
      </c>
      <c r="C7">
        <v>104</v>
      </c>
      <c r="D7">
        <v>95</v>
      </c>
      <c r="E7">
        <v>9</v>
      </c>
      <c r="F7">
        <v>91.35</v>
      </c>
    </row>
    <row r="8" spans="1:6" x14ac:dyDescent="0.35">
      <c r="A8" s="1" t="s">
        <v>71</v>
      </c>
      <c r="B8">
        <v>2</v>
      </c>
      <c r="C8">
        <v>64</v>
      </c>
      <c r="D8">
        <v>36</v>
      </c>
      <c r="E8">
        <v>28</v>
      </c>
      <c r="F8">
        <v>56.25</v>
      </c>
    </row>
    <row r="9" spans="1:6" x14ac:dyDescent="0.35">
      <c r="A9" s="1" t="s">
        <v>28</v>
      </c>
      <c r="B9">
        <v>4</v>
      </c>
      <c r="C9">
        <v>104</v>
      </c>
      <c r="D9">
        <v>93</v>
      </c>
      <c r="E9">
        <v>11</v>
      </c>
      <c r="F9">
        <v>89.42</v>
      </c>
    </row>
    <row r="10" spans="1:6" x14ac:dyDescent="0.35">
      <c r="A10" s="1" t="s">
        <v>52</v>
      </c>
      <c r="B10">
        <v>4</v>
      </c>
      <c r="C10">
        <v>104</v>
      </c>
      <c r="D10">
        <v>87</v>
      </c>
      <c r="E10">
        <v>17</v>
      </c>
      <c r="F10">
        <v>83.65</v>
      </c>
    </row>
    <row r="11" spans="1:6" x14ac:dyDescent="0.35">
      <c r="A11" s="1" t="s">
        <v>51</v>
      </c>
      <c r="B11">
        <v>2</v>
      </c>
      <c r="C11">
        <v>34</v>
      </c>
      <c r="D11">
        <v>31</v>
      </c>
      <c r="E11">
        <v>3</v>
      </c>
      <c r="F11">
        <v>91.18</v>
      </c>
    </row>
    <row r="12" spans="1:6" x14ac:dyDescent="0.35">
      <c r="A12" s="1" t="s">
        <v>38</v>
      </c>
      <c r="B12">
        <v>4</v>
      </c>
      <c r="C12">
        <v>104</v>
      </c>
      <c r="D12">
        <v>94</v>
      </c>
      <c r="E12">
        <v>10</v>
      </c>
      <c r="F12">
        <v>90.38</v>
      </c>
    </row>
    <row r="13" spans="1:6" x14ac:dyDescent="0.35">
      <c r="A13" s="1" t="s">
        <v>27</v>
      </c>
      <c r="B13">
        <v>3</v>
      </c>
      <c r="C13">
        <v>84</v>
      </c>
      <c r="D13">
        <v>84</v>
      </c>
      <c r="E13">
        <v>0</v>
      </c>
      <c r="F13">
        <v>100</v>
      </c>
    </row>
    <row r="14" spans="1:6" x14ac:dyDescent="0.35">
      <c r="A14" s="1" t="s">
        <v>48</v>
      </c>
      <c r="B14">
        <v>3</v>
      </c>
      <c r="C14">
        <v>84</v>
      </c>
      <c r="D14">
        <v>80</v>
      </c>
      <c r="E14">
        <v>4</v>
      </c>
      <c r="F14">
        <v>95.24</v>
      </c>
    </row>
    <row r="15" spans="1:6" x14ac:dyDescent="0.35">
      <c r="A15" s="1" t="s">
        <v>54</v>
      </c>
      <c r="B15">
        <v>4</v>
      </c>
      <c r="C15">
        <v>104</v>
      </c>
      <c r="D15">
        <v>101</v>
      </c>
      <c r="E15">
        <v>3</v>
      </c>
      <c r="F15">
        <v>97.12</v>
      </c>
    </row>
    <row r="16" spans="1:6" x14ac:dyDescent="0.35">
      <c r="A16" s="1" t="s">
        <v>29</v>
      </c>
      <c r="B16">
        <v>4</v>
      </c>
      <c r="C16">
        <v>104</v>
      </c>
      <c r="D16">
        <v>85</v>
      </c>
      <c r="E16">
        <v>19</v>
      </c>
      <c r="F16">
        <v>81.73</v>
      </c>
    </row>
    <row r="17" spans="1:6" x14ac:dyDescent="0.35">
      <c r="A17" s="1" t="s">
        <v>47</v>
      </c>
      <c r="B17">
        <v>4</v>
      </c>
      <c r="C17">
        <v>104</v>
      </c>
      <c r="D17">
        <v>92</v>
      </c>
      <c r="E17">
        <v>12</v>
      </c>
      <c r="F17">
        <v>88.46</v>
      </c>
    </row>
    <row r="18" spans="1:6" x14ac:dyDescent="0.35">
      <c r="A18" s="1" t="s">
        <v>61</v>
      </c>
      <c r="B18">
        <v>4</v>
      </c>
      <c r="C18">
        <v>116</v>
      </c>
      <c r="D18">
        <v>80</v>
      </c>
      <c r="E18">
        <v>36</v>
      </c>
      <c r="F18">
        <v>68.97</v>
      </c>
    </row>
    <row r="19" spans="1:6" x14ac:dyDescent="0.35">
      <c r="A19" s="1" t="s">
        <v>34</v>
      </c>
      <c r="B19">
        <v>8</v>
      </c>
      <c r="C19">
        <v>212</v>
      </c>
      <c r="D19">
        <v>127</v>
      </c>
      <c r="E19">
        <v>85</v>
      </c>
      <c r="F19">
        <v>59.91</v>
      </c>
    </row>
    <row r="20" spans="1:6" x14ac:dyDescent="0.35">
      <c r="A20" s="1" t="s">
        <v>41</v>
      </c>
      <c r="B20">
        <v>11</v>
      </c>
      <c r="C20">
        <v>316</v>
      </c>
      <c r="D20">
        <v>236</v>
      </c>
      <c r="E20">
        <v>80</v>
      </c>
      <c r="F20">
        <v>74.680000000000007</v>
      </c>
    </row>
    <row r="21" spans="1:6" x14ac:dyDescent="0.35">
      <c r="A21" s="1" t="s">
        <v>30</v>
      </c>
      <c r="B21">
        <v>5</v>
      </c>
      <c r="C21">
        <v>132</v>
      </c>
      <c r="D21">
        <v>80</v>
      </c>
      <c r="E21">
        <v>52</v>
      </c>
      <c r="F21">
        <v>60.61</v>
      </c>
    </row>
    <row r="22" spans="1:6" x14ac:dyDescent="0.35">
      <c r="A22" s="1" t="s">
        <v>70</v>
      </c>
      <c r="B22">
        <v>2</v>
      </c>
      <c r="C22">
        <v>40</v>
      </c>
      <c r="D22">
        <v>27</v>
      </c>
      <c r="E22">
        <v>13</v>
      </c>
      <c r="F22">
        <v>67.5</v>
      </c>
    </row>
    <row r="23" spans="1:6" x14ac:dyDescent="0.35">
      <c r="A23" s="1" t="s">
        <v>59</v>
      </c>
      <c r="B23">
        <v>4</v>
      </c>
      <c r="C23">
        <v>88</v>
      </c>
      <c r="D23">
        <v>86</v>
      </c>
      <c r="E23">
        <v>2</v>
      </c>
      <c r="F23">
        <v>97.73</v>
      </c>
    </row>
    <row r="24" spans="1:6" x14ac:dyDescent="0.35">
      <c r="A24" s="1" t="s">
        <v>58</v>
      </c>
      <c r="B24">
        <v>2</v>
      </c>
      <c r="C24">
        <v>52</v>
      </c>
      <c r="D24">
        <v>46</v>
      </c>
      <c r="E24">
        <v>6</v>
      </c>
      <c r="F24">
        <v>88.46</v>
      </c>
    </row>
    <row r="25" spans="1:6" x14ac:dyDescent="0.35">
      <c r="A25" s="1" t="s">
        <v>66</v>
      </c>
      <c r="B25">
        <v>4</v>
      </c>
      <c r="C25">
        <v>88</v>
      </c>
      <c r="D25">
        <v>86</v>
      </c>
      <c r="E25">
        <v>2</v>
      </c>
      <c r="F25">
        <v>97.73</v>
      </c>
    </row>
    <row r="26" spans="1:6" x14ac:dyDescent="0.35">
      <c r="A26" s="1" t="s">
        <v>62</v>
      </c>
      <c r="B26">
        <v>9</v>
      </c>
      <c r="C26">
        <v>220</v>
      </c>
      <c r="D26">
        <v>172</v>
      </c>
      <c r="E26">
        <v>48</v>
      </c>
      <c r="F26">
        <v>78.180000000000007</v>
      </c>
    </row>
    <row r="27" spans="1:6" x14ac:dyDescent="0.35">
      <c r="A27" s="1" t="s">
        <v>56</v>
      </c>
      <c r="B27">
        <v>4</v>
      </c>
      <c r="C27">
        <v>100</v>
      </c>
      <c r="D27">
        <v>98</v>
      </c>
      <c r="E27">
        <v>2</v>
      </c>
      <c r="F27">
        <v>98</v>
      </c>
    </row>
    <row r="28" spans="1:6" x14ac:dyDescent="0.35">
      <c r="A28" s="1" t="s">
        <v>25</v>
      </c>
      <c r="B28">
        <v>2</v>
      </c>
      <c r="C28">
        <v>28</v>
      </c>
      <c r="D28">
        <v>23</v>
      </c>
      <c r="E28">
        <v>5</v>
      </c>
      <c r="F28">
        <v>82.14</v>
      </c>
    </row>
    <row r="29" spans="1:6" x14ac:dyDescent="0.35">
      <c r="A29" s="1" t="s">
        <v>49</v>
      </c>
      <c r="B29">
        <v>5</v>
      </c>
      <c r="C29">
        <v>114</v>
      </c>
      <c r="D29">
        <v>86</v>
      </c>
      <c r="E29">
        <v>28</v>
      </c>
      <c r="F29">
        <v>75.44</v>
      </c>
    </row>
    <row r="30" spans="1:6" x14ac:dyDescent="0.35">
      <c r="A30" s="1" t="s">
        <v>50</v>
      </c>
      <c r="B30">
        <v>3</v>
      </c>
      <c r="C30">
        <v>80</v>
      </c>
      <c r="D30">
        <v>65</v>
      </c>
      <c r="E30">
        <v>15</v>
      </c>
      <c r="F30">
        <v>81.25</v>
      </c>
    </row>
    <row r="31" spans="1:6" x14ac:dyDescent="0.35">
      <c r="A31" s="1" t="s">
        <v>33</v>
      </c>
      <c r="B31">
        <v>2</v>
      </c>
      <c r="C31">
        <v>52</v>
      </c>
      <c r="D31">
        <v>47</v>
      </c>
      <c r="E31">
        <v>5</v>
      </c>
      <c r="F31">
        <v>90.38</v>
      </c>
    </row>
    <row r="32" spans="1:6" x14ac:dyDescent="0.35">
      <c r="A32" s="1" t="s">
        <v>60</v>
      </c>
      <c r="B32">
        <v>3</v>
      </c>
      <c r="C32">
        <v>80</v>
      </c>
      <c r="D32">
        <v>78</v>
      </c>
      <c r="E32">
        <v>2</v>
      </c>
      <c r="F32">
        <v>97.5</v>
      </c>
    </row>
    <row r="33" spans="1:6" x14ac:dyDescent="0.35">
      <c r="A33" s="1" t="s">
        <v>9</v>
      </c>
      <c r="B33">
        <v>3</v>
      </c>
      <c r="C33">
        <v>84</v>
      </c>
      <c r="D33">
        <v>81</v>
      </c>
      <c r="E33">
        <v>3</v>
      </c>
      <c r="F33">
        <v>96.43</v>
      </c>
    </row>
    <row r="34" spans="1:6" x14ac:dyDescent="0.35">
      <c r="A34" s="1" t="s">
        <v>67</v>
      </c>
      <c r="B34">
        <v>4</v>
      </c>
      <c r="C34">
        <v>100</v>
      </c>
      <c r="D34">
        <v>87</v>
      </c>
      <c r="E34">
        <v>13</v>
      </c>
      <c r="F34">
        <v>87</v>
      </c>
    </row>
    <row r="35" spans="1:6" x14ac:dyDescent="0.35">
      <c r="A35" s="1" t="s">
        <v>55</v>
      </c>
      <c r="B35">
        <v>2</v>
      </c>
      <c r="C35">
        <v>52</v>
      </c>
      <c r="D35">
        <v>50</v>
      </c>
      <c r="E35">
        <v>2</v>
      </c>
      <c r="F35">
        <v>96.15</v>
      </c>
    </row>
    <row r="36" spans="1:6" x14ac:dyDescent="0.35">
      <c r="A36" s="1" t="s">
        <v>68</v>
      </c>
      <c r="B36">
        <v>4</v>
      </c>
      <c r="C36">
        <v>100</v>
      </c>
      <c r="D36">
        <v>86</v>
      </c>
      <c r="E36">
        <v>14</v>
      </c>
      <c r="F36">
        <v>86</v>
      </c>
    </row>
    <row r="37" spans="1:6" x14ac:dyDescent="0.35">
      <c r="A37" s="1" t="s">
        <v>53</v>
      </c>
      <c r="B37">
        <v>4</v>
      </c>
      <c r="C37">
        <v>100</v>
      </c>
      <c r="D37">
        <v>76</v>
      </c>
      <c r="E37">
        <v>24</v>
      </c>
      <c r="F37">
        <v>76</v>
      </c>
    </row>
    <row r="38" spans="1:6" x14ac:dyDescent="0.35">
      <c r="A38" s="1" t="s">
        <v>23</v>
      </c>
      <c r="B38">
        <v>3</v>
      </c>
      <c r="C38">
        <v>80</v>
      </c>
      <c r="D38">
        <v>71</v>
      </c>
      <c r="E38">
        <v>9</v>
      </c>
      <c r="F38">
        <v>88.75</v>
      </c>
    </row>
    <row r="39" spans="1:6" x14ac:dyDescent="0.35">
      <c r="A39" s="1" t="s">
        <v>63</v>
      </c>
      <c r="B39">
        <v>4</v>
      </c>
      <c r="C39">
        <v>104</v>
      </c>
      <c r="D39">
        <v>70</v>
      </c>
      <c r="E39">
        <v>34</v>
      </c>
      <c r="F39">
        <v>67.31</v>
      </c>
    </row>
    <row r="40" spans="1:6" x14ac:dyDescent="0.35">
      <c r="A40" s="1" t="s">
        <v>18</v>
      </c>
      <c r="B40">
        <v>6</v>
      </c>
      <c r="C40">
        <v>160</v>
      </c>
      <c r="D40">
        <v>157</v>
      </c>
      <c r="E40">
        <v>3</v>
      </c>
      <c r="F40">
        <v>98.12</v>
      </c>
    </row>
    <row r="41" spans="1:6" x14ac:dyDescent="0.35">
      <c r="A41" s="1" t="s">
        <v>69</v>
      </c>
      <c r="B41">
        <v>2</v>
      </c>
      <c r="C41">
        <v>44</v>
      </c>
      <c r="D41">
        <v>34</v>
      </c>
      <c r="E41">
        <v>10</v>
      </c>
      <c r="F41">
        <v>77.27</v>
      </c>
    </row>
    <row r="42" spans="1:6" x14ac:dyDescent="0.35">
      <c r="A42" s="1" t="s">
        <v>46</v>
      </c>
      <c r="B42">
        <v>3</v>
      </c>
      <c r="C42">
        <v>80</v>
      </c>
      <c r="D42">
        <v>72</v>
      </c>
      <c r="E42">
        <v>8</v>
      </c>
      <c r="F42">
        <v>90</v>
      </c>
    </row>
    <row r="43" spans="1:6" x14ac:dyDescent="0.35">
      <c r="A43" s="1" t="s">
        <v>40</v>
      </c>
      <c r="B43">
        <v>3</v>
      </c>
      <c r="C43">
        <v>80</v>
      </c>
      <c r="D43">
        <v>75</v>
      </c>
      <c r="E43">
        <v>5</v>
      </c>
      <c r="F43">
        <v>93.75</v>
      </c>
    </row>
  </sheetData>
  <autoFilter ref="A1:F43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7265625" defaultRowHeight="14.5" x14ac:dyDescent="0.35"/>
  <cols>
    <col min="1" max="1" width="29.453125" bestFit="1" customWidth="1"/>
    <col min="2" max="2" width="11.7265625" bestFit="1" customWidth="1"/>
    <col min="3" max="3" width="9.54296875" bestFit="1" customWidth="1"/>
    <col min="4" max="4" width="9.81640625" bestFit="1" customWidth="1"/>
    <col min="5" max="5" width="8.54296875" customWidth="1"/>
    <col min="6" max="6" width="11.7265625" bestFit="1" customWidth="1"/>
  </cols>
  <sheetData>
    <row r="1" spans="1:6" x14ac:dyDescent="0.35">
      <c r="A1" s="1" t="s">
        <v>2</v>
      </c>
      <c r="B1" s="1" t="s">
        <v>72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35">
      <c r="A2" s="1" t="s">
        <v>35</v>
      </c>
      <c r="B2">
        <v>3</v>
      </c>
      <c r="C2">
        <v>96</v>
      </c>
      <c r="D2">
        <v>63</v>
      </c>
      <c r="E2">
        <v>33</v>
      </c>
      <c r="F2">
        <v>65.62</v>
      </c>
    </row>
    <row r="3" spans="1:6" x14ac:dyDescent="0.35">
      <c r="A3" s="1" t="s">
        <v>11</v>
      </c>
      <c r="B3">
        <v>41</v>
      </c>
      <c r="C3">
        <v>1304</v>
      </c>
      <c r="D3">
        <v>1156</v>
      </c>
      <c r="E3">
        <v>148</v>
      </c>
      <c r="F3">
        <v>88.65</v>
      </c>
    </row>
    <row r="4" spans="1:6" x14ac:dyDescent="0.35">
      <c r="A4" s="1" t="s">
        <v>15</v>
      </c>
      <c r="B4">
        <v>42</v>
      </c>
      <c r="C4">
        <v>1248</v>
      </c>
      <c r="D4">
        <v>1134</v>
      </c>
      <c r="E4">
        <v>114</v>
      </c>
      <c r="F4">
        <v>90.87</v>
      </c>
    </row>
    <row r="5" spans="1:6" x14ac:dyDescent="0.35">
      <c r="A5" s="1" t="s">
        <v>31</v>
      </c>
      <c r="B5">
        <v>4</v>
      </c>
      <c r="C5">
        <v>128</v>
      </c>
      <c r="D5">
        <v>82</v>
      </c>
      <c r="E5">
        <v>46</v>
      </c>
      <c r="F5">
        <v>64.06</v>
      </c>
    </row>
    <row r="6" spans="1:6" x14ac:dyDescent="0.35">
      <c r="A6" s="1" t="s">
        <v>22</v>
      </c>
      <c r="B6">
        <v>8</v>
      </c>
      <c r="C6">
        <v>160</v>
      </c>
      <c r="D6">
        <v>83</v>
      </c>
      <c r="E6">
        <v>77</v>
      </c>
      <c r="F6">
        <v>51.88</v>
      </c>
    </row>
    <row r="7" spans="1:6" x14ac:dyDescent="0.35">
      <c r="A7" s="1" t="s">
        <v>17</v>
      </c>
      <c r="B7">
        <v>44</v>
      </c>
      <c r="C7">
        <v>840</v>
      </c>
      <c r="D7">
        <v>715</v>
      </c>
      <c r="E7">
        <v>125</v>
      </c>
      <c r="F7">
        <v>85.12</v>
      </c>
    </row>
    <row r="8" spans="1:6" x14ac:dyDescent="0.35">
      <c r="A8" s="1" t="s">
        <v>26</v>
      </c>
      <c r="B8">
        <v>20</v>
      </c>
      <c r="C8">
        <v>370</v>
      </c>
      <c r="D8">
        <v>203</v>
      </c>
      <c r="E8">
        <v>167</v>
      </c>
      <c r="F8">
        <v>54.86</v>
      </c>
    </row>
    <row r="9" spans="1:6" x14ac:dyDescent="0.35">
      <c r="A9" s="1" t="s">
        <v>44</v>
      </c>
      <c r="B9">
        <v>2</v>
      </c>
      <c r="C9">
        <v>64</v>
      </c>
      <c r="D9">
        <v>46</v>
      </c>
      <c r="E9">
        <v>18</v>
      </c>
      <c r="F9">
        <v>71.88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codigos</vt:lpstr>
      <vt:lpstr>Datos Grupos</vt:lpstr>
      <vt:lpstr>Resumen por Establecimiento</vt:lpstr>
      <vt:lpstr>Resumen por Nivel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Contreras Caballol</cp:lastModifiedBy>
  <dcterms:created xsi:type="dcterms:W3CDTF">2026-04-13T13:51:44Z</dcterms:created>
  <dcterms:modified xsi:type="dcterms:W3CDTF">2026-04-13T16:55:41Z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2026-04-13T14:46:48Z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3e5a9a43-f508-4c1d-8fdb-fde704f3ee8a</vt:lpwstr>
  </property>
  <property fmtid="{D5CDD505-2E9C-101B-9397-08002B2CF9AE}" pid="7" name="MSIP_Label_defa4170-0d19-0005-0004-bc88714345d2_ActionId">
    <vt:lpwstr>9795c48d-96da-4162-a3d8-82b63ce89187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